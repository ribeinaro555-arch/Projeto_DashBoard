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ocuments\Treino excel com ia\Treino Dashboard\Dashboard pronta\"/>
    </mc:Choice>
  </mc:AlternateContent>
  <xr:revisionPtr revIDLastSave="0" documentId="8_{F292FFF9-B771-4CB3-8BA9-4164C6958FDB}" xr6:coauthVersionLast="47" xr6:coauthVersionMax="47" xr10:uidLastSave="{00000000-0000-0000-0000-000000000000}"/>
  <bookViews>
    <workbookView xWindow="-108" yWindow="-108" windowWidth="23256" windowHeight="1257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3" l="1"/>
</calcChain>
</file>

<file path=xl/sharedStrings.xml><?xml version="1.0" encoding="utf-8"?>
<sst xmlns="http://schemas.openxmlformats.org/spreadsheetml/2006/main" count="2001" uniqueCount="320">
  <si>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</si>
  <si>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</si>
  <si>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</si>
  <si>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</si>
  <si>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</si>
  <si>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</si>
  <si>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</si>
  <si>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</si>
  <si>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</si>
  <si>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</si>
  <si>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</si>
  <si>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</si>
  <si>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</si>
  <si>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</si>
  <si>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</si>
  <si>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</si>
  <si>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</si>
  <si>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</si>
  <si>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</si>
  <si>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</si>
  <si>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</si>
  <si>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</si>
  <si>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</si>
  <si>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</si>
  <si>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</si>
  <si>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</si>
  <si>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</si>
  <si>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</si>
  <si>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</si>
  <si>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</si>
  <si>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</si>
  <si>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</si>
  <si>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</si>
  <si>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</si>
  <si>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</si>
  <si>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</si>
  <si>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</si>
  <si>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</si>
  <si>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</si>
  <si>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</si>
  <si>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</si>
  <si>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</si>
  <si>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</si>
  <si>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</si>
  <si>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</si>
  <si>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</si>
  <si>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</si>
  <si>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</si>
  <si>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</si>
  <si>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</si>
  <si>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</si>
  <si>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</si>
  <si>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</si>
  <si>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</si>
  <si>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</si>
  <si>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</si>
  <si>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</si>
  <si>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</si>
  <si>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</si>
  <si>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</si>
  <si>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</si>
  <si>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</si>
  <si>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</si>
  <si>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</si>
  <si>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</si>
  <si>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</si>
  <si>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</si>
  <si>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</si>
  <si>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</si>
  <si>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</si>
  <si>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</si>
  <si>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</si>
  <si>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</si>
  <si>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</si>
  <si>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</si>
  <si>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</si>
  <si>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</si>
  <si>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</si>
  <si>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</si>
  <si>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</si>
  <si>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</si>
  <si>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</si>
  <si>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</si>
  <si>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</si>
  <si>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</si>
  <si>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</si>
  <si>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</si>
  <si>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</si>
  <si>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</si>
  <si>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</si>
  <si>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</si>
  <si>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</si>
  <si>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</si>
  <si>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</si>
  <si>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</si>
  <si>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</si>
  <si>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</si>
  <si>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</si>
  <si>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</si>
  <si>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</si>
  <si>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</si>
  <si>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</si>
  <si>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</si>
  <si>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</si>
  <si>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</si>
  <si>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</si>
  <si>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</si>
  <si>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</si>
  <si>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</si>
  <si>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</si>
  <si>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</si>
  <si>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</si>
  <si>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</si>
  <si>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</si>
  <si>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</si>
  <si>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</si>
  <si>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</si>
  <si>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</si>
  <si>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</si>
  <si>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</si>
  <si>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</si>
  <si>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</si>
  <si>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</si>
  <si>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</si>
  <si>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</si>
  <si>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</si>
  <si>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</si>
  <si>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</si>
  <si>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</si>
  <si>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</si>
  <si>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</si>
  <si>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</si>
  <si>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</si>
  <si>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</si>
  <si>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</si>
  <si>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</si>
  <si>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</si>
  <si>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</si>
  <si>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</si>
  <si>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</si>
  <si>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</si>
  <si>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</si>
  <si>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</si>
  <si>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</si>
  <si>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</si>
  <si>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</si>
  <si>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</si>
  <si>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</si>
  <si>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</si>
  <si>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</si>
  <si>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</si>
  <si>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</si>
  <si>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</si>
  <si>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</si>
  <si>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</si>
  <si>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</si>
  <si>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</si>
  <si>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</si>
  <si>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</si>
  <si>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</si>
  <si>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</si>
  <si>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</si>
  <si>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</si>
  <si>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</si>
  <si>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</si>
  <si>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</si>
  <si>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</si>
  <si>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</si>
  <si>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</si>
  <si>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</si>
  <si>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</si>
  <si>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</si>
  <si>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</si>
  <si>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</si>
  <si>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</si>
  <si>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</si>
  <si>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</si>
  <si>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</si>
  <si>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</si>
  <si>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</si>
  <si>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</si>
  <si>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</si>
  <si>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</si>
  <si>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</si>
  <si>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</si>
  <si>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</si>
  <si>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</si>
  <si>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</si>
  <si>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</si>
  <si>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</si>
  <si>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</si>
  <si>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</si>
  <si>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</si>
  <si>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</si>
  <si>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</si>
  <si>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</si>
  <si>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</si>
  <si>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</si>
  <si>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</si>
  <si>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</si>
  <si>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</si>
  <si>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</si>
  <si>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</si>
  <si>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</si>
  <si>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</si>
  <si>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</si>
  <si>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</si>
  <si>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</si>
  <si>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</si>
  <si>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</si>
  <si>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</si>
  <si>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</si>
  <si>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</si>
  <si>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</si>
  <si>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</si>
  <si>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</si>
  <si>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</si>
  <si>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</si>
  <si>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</si>
  <si>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</si>
  <si>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</si>
  <si>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</si>
  <si>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</si>
  <si>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</si>
  <si>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</si>
  <si>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</si>
  <si>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</si>
  <si>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</si>
  <si>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</si>
  <si>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</si>
  <si>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</si>
  <si>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</si>
  <si>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</si>
  <si>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</si>
  <si>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</si>
  <si>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</si>
  <si>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</si>
  <si>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</si>
  <si>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</si>
  <si>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</si>
  <si>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</si>
  <si>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</si>
  <si>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</si>
  <si>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</si>
  <si>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</si>
  <si>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</si>
  <si>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</si>
  <si>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</si>
  <si>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</si>
  <si>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</si>
  <si>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</si>
  <si>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</si>
  <si>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</si>
  <si>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</si>
  <si>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</si>
  <si>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</si>
  <si>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</si>
  <si>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</si>
  <si>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</si>
  <si>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</si>
  <si>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</si>
  <si>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</si>
  <si>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</si>
  <si>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</si>
  <si>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</si>
  <si>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</si>
  <si>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</si>
  <si>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</si>
  <si>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</si>
  <si>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</si>
  <si>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</si>
  <si>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</si>
  <si>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</si>
  <si>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</si>
  <si>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</si>
  <si>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</si>
  <si>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</si>
  <si>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</si>
  <si>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</si>
  <si>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</si>
  <si>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</si>
  <si>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</si>
  <si>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</si>
  <si>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</si>
  <si>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</si>
  <si>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</si>
  <si>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</si>
  <si>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</si>
  <si>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</si>
  <si>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</si>
  <si>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</si>
  <si>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</si>
  <si>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</si>
  <si>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</si>
  <si>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</si>
  <si>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</si>
  <si>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</si>
  <si>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</si>
  <si>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</si>
  <si>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</si>
  <si>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</si>
  <si>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</si>
  <si>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</si>
  <si>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</si>
  <si>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</si>
  <si>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</si>
  <si>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</si>
  <si>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</si>
  <si>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</si>
  <si>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</si>
  <si>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</si>
  <si>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</si>
  <si>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</si>
  <si>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</si>
  <si>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</si>
  <si>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</si>
  <si>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Qual o faturamento total considerando todos os tipos de plano (mensal, trimestral e anual)?</t>
  </si>
  <si>
    <t>Contagem de Start Date</t>
  </si>
  <si>
    <t xml:space="preserve">       PASS SESSION SALES</t>
  </si>
  <si>
    <t>Date:01/01/2025 - 31/12/2025 | Update date:04/12/2025 19:55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</si>
</sst>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2" tint="-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44" fontId="0" fillId="0" borderId="0" xfId="2" applyFont="1"/>
    <xf numFmtId="0" fontId="1" fillId="0" borderId="2" xfId="1" applyBorder="1"/>
    <xf numFmtId="0" fontId="0" fillId="0" borderId="0" xfId="0" applyNumberFormat="1"/>
    <xf numFmtId="0" fontId="4" fillId="0" borderId="0" xfId="0" applyFont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Estilo de Segmentação de Dados 1" pivot="0" table="0" count="0" xr9:uid="{C955D573-EF80-4C0D-BB81-CCC1F6E483B0}"/>
  </tableStyles>
  <colors>
    <mruColors>
      <color rgb="FF22C55E"/>
      <color rgb="FF2AE6B1"/>
      <color rgb="FFE8E6E9"/>
      <color rgb="FFFFFFFF"/>
      <color rgb="FFE97132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Pronta.xlsx]C̳álculos!Tabela dinâmica3</c:name>
    <c:fmtId val="0"/>
  </c:pivotSource>
  <c:chart>
    <c:autoTitleDeleted val="0"/>
    <c:pivotFmts>
      <c:pivotFmt>
        <c:idx val="0"/>
        <c:spPr>
          <a:solidFill>
            <a:srgbClr val="22C55E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spPr>
          <a:solidFill>
            <a:srgbClr val="22C55E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627580927384079"/>
          <c:y val="0.23509040536599593"/>
          <c:w val="0.79872419072615919"/>
          <c:h val="0.6589012831729367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  <a:sp3d/>
          </c:spPr>
          <c:invertIfNegative val="0"/>
          <c:cat>
            <c:strRef>
              <c:f>C̳álculos!$B$8:$B$9</c:f>
              <c:strCache>
                <c:ptCount val="1"/>
                <c:pt idx="0">
                  <c:v>Annual</c:v>
                </c:pt>
              </c:strCache>
            </c:strRef>
          </c:cat>
          <c:val>
            <c:numRef>
              <c:f>C̳álculos!$C$8:$C$9</c:f>
              <c:numCache>
                <c:formatCode>_("R$"* #,##0.00_);_("R$"* \(#,##0.00\);_("R$"* "-"??_);_(@_)</c:formatCode>
                <c:ptCount val="1"/>
                <c:pt idx="0">
                  <c:v>1754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1-4D71-846F-A2F4E4A46FE7}"/>
            </c:ext>
          </c:extLst>
        </c:ser>
        <c:ser>
          <c:idx val="1"/>
          <c:order val="1"/>
          <c:tx>
            <c:strRef>
              <c:f>C̳álculos!$D$7</c:f>
              <c:strCache>
                <c:ptCount val="1"/>
                <c:pt idx="0">
                  <c:v>Contagem de Start Date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  <a:sp3d/>
          </c:spPr>
          <c:invertIfNegative val="0"/>
          <c:cat>
            <c:strRef>
              <c:f>C̳álculos!$B$8:$B$9</c:f>
              <c:strCache>
                <c:ptCount val="1"/>
                <c:pt idx="0">
                  <c:v>Annual</c:v>
                </c:pt>
              </c:strCache>
            </c:strRef>
          </c:cat>
          <c:val>
            <c:numRef>
              <c:f>C̳álculos!$D$8:$D$9</c:f>
              <c:numCache>
                <c:formatCode>General</c:formatCode>
                <c:ptCount val="1"/>
                <c:pt idx="0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B1-4D71-846F-A2F4E4A46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99372991"/>
        <c:axId val="1499371071"/>
        <c:axId val="0"/>
      </c:bar3DChart>
      <c:catAx>
        <c:axId val="149937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9371071"/>
        <c:crosses val="autoZero"/>
        <c:auto val="1"/>
        <c:lblAlgn val="ctr"/>
        <c:lblOffset val="100"/>
        <c:noMultiLvlLbl val="0"/>
      </c:catAx>
      <c:valAx>
        <c:axId val="149937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937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Pronta.xlsx]C̳álculos!Tabela dinâmica3</c:name>
    <c:fmtId val="2"/>
  </c:pivotSource>
  <c:chart>
    <c:autoTitleDeleted val="0"/>
    <c:pivotFmts>
      <c:pivotFmt>
        <c:idx val="0"/>
        <c:spPr>
          <a:solidFill>
            <a:srgbClr val="22C55E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rgbClr val="22C55E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FF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solidFill>
              <a:srgbClr val="00B0F0"/>
            </a:solidFill>
          </a:ln>
          <a:effectLst/>
          <a:sp3d>
            <a:contourClr>
              <a:srgbClr val="00B0F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FF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rgbClr val="22C55E"/>
            </a:solidFill>
            <a:ln>
              <a:solidFill>
                <a:srgbClr val="00B0F0"/>
              </a:solidFill>
            </a:ln>
            <a:effectLst/>
            <a:sp3d>
              <a:contourClr>
                <a:srgbClr val="00B0F0"/>
              </a:contourClr>
            </a:sp3d>
          </c:spPr>
          <c:invertIfNegative val="0"/>
          <c:cat>
            <c:strRef>
              <c:f>C̳álculos!$B$8:$B$9</c:f>
              <c:strCache>
                <c:ptCount val="1"/>
                <c:pt idx="0">
                  <c:v>Annual</c:v>
                </c:pt>
              </c:strCache>
            </c:strRef>
          </c:cat>
          <c:val>
            <c:numRef>
              <c:f>C̳álculos!$C$8:$C$9</c:f>
              <c:numCache>
                <c:formatCode>_("R$"* #,##0.00_);_("R$"* \(#,##0.00\);_("R$"* "-"??_);_(@_)</c:formatCode>
                <c:ptCount val="1"/>
                <c:pt idx="0">
                  <c:v>1754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2-44C6-B4F3-4331BAAC34D4}"/>
            </c:ext>
          </c:extLst>
        </c:ser>
        <c:ser>
          <c:idx val="1"/>
          <c:order val="1"/>
          <c:tx>
            <c:strRef>
              <c:f>C̳álculos!$D$7</c:f>
              <c:strCache>
                <c:ptCount val="1"/>
                <c:pt idx="0">
                  <c:v>Contagem de Start Date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  <a:sp3d/>
          </c:spPr>
          <c:invertIfNegative val="0"/>
          <c:cat>
            <c:strRef>
              <c:f>C̳álculos!$B$8:$B$9</c:f>
              <c:strCache>
                <c:ptCount val="1"/>
                <c:pt idx="0">
                  <c:v>Annual</c:v>
                </c:pt>
              </c:strCache>
            </c:strRef>
          </c:cat>
          <c:val>
            <c:numRef>
              <c:f>C̳álculos!$D$8:$D$9</c:f>
              <c:numCache>
                <c:formatCode>General</c:formatCode>
                <c:ptCount val="1"/>
                <c:pt idx="0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82-44C6-B4F3-4331BAAC3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99372991"/>
        <c:axId val="1499371071"/>
        <c:axId val="0"/>
      </c:bar3DChart>
      <c:catAx>
        <c:axId val="149937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9371071"/>
        <c:crosses val="autoZero"/>
        <c:auto val="1"/>
        <c:lblAlgn val="ctr"/>
        <c:lblOffset val="100"/>
        <c:noMultiLvlLbl val="0"/>
      </c:catAx>
      <c:valAx>
        <c:axId val="149937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937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2.xml"/><Relationship Id="rId1" Type="http://schemas.openxmlformats.org/officeDocument/2006/relationships/image" Target="../media/image11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226694</xdr:colOff>
      <xdr:row>12</xdr:row>
      <xdr:rowOff>153542</xdr:rowOff>
    </xdr:from>
    <xdr:to>
      <xdr:col>3</xdr:col>
      <xdr:colOff>508091</xdr:colOff>
      <xdr:row>15</xdr:row>
      <xdr:rowOff>34290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294" y="2508122"/>
          <a:ext cx="1500597" cy="437008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278130</xdr:colOff>
      <xdr:row>12</xdr:row>
      <xdr:rowOff>89535</xdr:rowOff>
    </xdr:from>
    <xdr:to>
      <xdr:col>11</xdr:col>
      <xdr:colOff>363855</xdr:colOff>
      <xdr:row>16</xdr:row>
      <xdr:rowOff>13335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AEB1DE77-38A1-CB13-DA10-53E1D7C19C29}"/>
            </a:ext>
          </a:extLst>
        </xdr:cNvPr>
        <xdr:cNvSpPr/>
      </xdr:nvSpPr>
      <xdr:spPr>
        <a:xfrm>
          <a:off x="6008370" y="2444115"/>
          <a:ext cx="695325" cy="66294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678180</xdr:colOff>
      <xdr:row>10</xdr:row>
      <xdr:rowOff>19050</xdr:rowOff>
    </xdr:from>
    <xdr:to>
      <xdr:col>6</xdr:col>
      <xdr:colOff>853440</xdr:colOff>
      <xdr:row>25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068931-72D5-6B5A-D53A-03E0D457B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304800</xdr:colOff>
      <xdr:row>10</xdr:row>
      <xdr:rowOff>38100</xdr:rowOff>
    </xdr:from>
    <xdr:to>
      <xdr:col>2</xdr:col>
      <xdr:colOff>373380</xdr:colOff>
      <xdr:row>24</xdr:row>
      <xdr:rowOff>59055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CA476FE9-611E-B18B-672E-45EC9B3A89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" y="186690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0</xdr:row>
      <xdr:rowOff>104776</xdr:rowOff>
    </xdr:from>
    <xdr:to>
      <xdr:col>2</xdr:col>
      <xdr:colOff>352425</xdr:colOff>
      <xdr:row>2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F3EB24-BD60-A2D6-4D8B-32CE1ABFF8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174" t="-19531" r="64433" b="-15008"/>
        <a:stretch>
          <a:fillRect/>
        </a:stretch>
      </xdr:blipFill>
      <xdr:spPr>
        <a:xfrm>
          <a:off x="1943100" y="104776"/>
          <a:ext cx="590550" cy="590549"/>
        </a:xfrm>
        <a:prstGeom prst="rect">
          <a:avLst/>
        </a:prstGeom>
      </xdr:spPr>
    </xdr:pic>
    <xdr:clientData/>
  </xdr:twoCellAnchor>
  <xdr:twoCellAnchor editAs="absolute">
    <xdr:from>
      <xdr:col>1</xdr:col>
      <xdr:colOff>211455</xdr:colOff>
      <xdr:row>18</xdr:row>
      <xdr:rowOff>76200</xdr:rowOff>
    </xdr:from>
    <xdr:to>
      <xdr:col>3</xdr:col>
      <xdr:colOff>447675</xdr:colOff>
      <xdr:row>34</xdr:row>
      <xdr:rowOff>104776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DB7A190-AF33-48BB-A9A2-2CA991D91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19050</xdr:colOff>
      <xdr:row>5</xdr:row>
      <xdr:rowOff>104775</xdr:rowOff>
    </xdr:from>
    <xdr:to>
      <xdr:col>0</xdr:col>
      <xdr:colOff>1847850</xdr:colOff>
      <xdr:row>20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1FB5EAE3-0B61-4A5E-8E71-DA328C4E4A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1343025"/>
              <a:ext cx="1828800" cy="2762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238125</xdr:colOff>
      <xdr:row>4</xdr:row>
      <xdr:rowOff>28574</xdr:rowOff>
    </xdr:from>
    <xdr:to>
      <xdr:col>3</xdr:col>
      <xdr:colOff>428625</xdr:colOff>
      <xdr:row>16</xdr:row>
      <xdr:rowOff>38100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8A35DAF5-BDB1-2A93-B368-5A9415C786AC}"/>
            </a:ext>
          </a:extLst>
        </xdr:cNvPr>
        <xdr:cNvGrpSpPr/>
      </xdr:nvGrpSpPr>
      <xdr:grpSpPr>
        <a:xfrm>
          <a:off x="2171700" y="1171574"/>
          <a:ext cx="4724400" cy="2228851"/>
          <a:chOff x="2371725" y="1247774"/>
          <a:chExt cx="4724400" cy="2228851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A9C3C0E7-C423-669C-E450-79865D25E971}"/>
              </a:ext>
            </a:extLst>
          </xdr:cNvPr>
          <xdr:cNvSpPr/>
        </xdr:nvSpPr>
        <xdr:spPr>
          <a:xfrm>
            <a:off x="2381250" y="1247774"/>
            <a:ext cx="4714875" cy="2228851"/>
          </a:xfrm>
          <a:prstGeom prst="roundRect">
            <a:avLst>
              <a:gd name="adj" fmla="val 1771"/>
            </a:avLst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9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069BD4E8-DB5F-4C51-954F-069F450B276A}"/>
              </a:ext>
            </a:extLst>
          </xdr:cNvPr>
          <xdr:cNvSpPr/>
        </xdr:nvSpPr>
        <xdr:spPr>
          <a:xfrm>
            <a:off x="3638550" y="1857376"/>
            <a:ext cx="3343275" cy="1257299"/>
          </a:xfrm>
          <a:prstGeom prst="roundRect">
            <a:avLst>
              <a:gd name="adj" fmla="val 4762"/>
            </a:avLst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1A4EC7C-87B1-42BF-827E-655B23390D09}" type="TxLink">
              <a:rPr lang="en-US" sz="3600" b="0" i="0" u="none" strike="noStrike">
                <a:solidFill>
                  <a:srgbClr val="2AE6B1"/>
                </a:solidFill>
                <a:latin typeface="Aptos Narrow"/>
              </a:rPr>
              <a:pPr algn="ctr"/>
              <a:t> R$ 1.754,00 </a:t>
            </a:fld>
            <a:endParaRPr lang="pt-BR" sz="3600">
              <a:solidFill>
                <a:srgbClr val="2AE6B1"/>
              </a:solidFill>
            </a:endParaRPr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7AB177CF-86C1-4E78-AA4E-041A92F94C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47925" y="1857376"/>
            <a:ext cx="1238250" cy="1184077"/>
          </a:xfrm>
          <a:prstGeom prst="rect">
            <a:avLst/>
          </a:prstGeom>
        </xdr:spPr>
      </xdr:pic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1C59D09B-41D4-645E-81BC-528FCA925211}"/>
              </a:ext>
            </a:extLst>
          </xdr:cNvPr>
          <xdr:cNvSpPr/>
        </xdr:nvSpPr>
        <xdr:spPr>
          <a:xfrm>
            <a:off x="2371725" y="1257299"/>
            <a:ext cx="4705350" cy="523875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/>
              <a:t>TOTAL IN PLAY SEASON PASS SALES</a:t>
            </a:r>
          </a:p>
        </xdr:txBody>
      </xdr:sp>
    </xdr:grpSp>
    <xdr:clientData/>
  </xdr:twoCellAnchor>
  <xdr:twoCellAnchor>
    <xdr:from>
      <xdr:col>0</xdr:col>
      <xdr:colOff>123825</xdr:colOff>
      <xdr:row>0</xdr:row>
      <xdr:rowOff>123825</xdr:rowOff>
    </xdr:from>
    <xdr:to>
      <xdr:col>0</xdr:col>
      <xdr:colOff>819150</xdr:colOff>
      <xdr:row>2</xdr:row>
      <xdr:rowOff>129540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B23F7075-DDAD-4AA2-8CDA-FF986C0F68E1}"/>
            </a:ext>
          </a:extLst>
        </xdr:cNvPr>
        <xdr:cNvSpPr/>
      </xdr:nvSpPr>
      <xdr:spPr>
        <a:xfrm>
          <a:off x="123825" y="123825"/>
          <a:ext cx="695325" cy="662940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142875</xdr:colOff>
      <xdr:row>2</xdr:row>
      <xdr:rowOff>247650</xdr:rowOff>
    </xdr:from>
    <xdr:to>
      <xdr:col>0</xdr:col>
      <xdr:colOff>1762125</xdr:colOff>
      <xdr:row>5</xdr:row>
      <xdr:rowOff>0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8956810D-233C-3DBD-1A90-AEE930E3B9BF}"/>
            </a:ext>
          </a:extLst>
        </xdr:cNvPr>
        <xdr:cNvSpPr/>
      </xdr:nvSpPr>
      <xdr:spPr>
        <a:xfrm>
          <a:off x="142875" y="904875"/>
          <a:ext cx="1619250" cy="333375"/>
        </a:xfrm>
        <a:prstGeom prst="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&gt;Bem</a:t>
          </a:r>
          <a:r>
            <a:rPr lang="pt-BR" sz="1100" baseline="0"/>
            <a:t> vindo, Maicon</a:t>
          </a:r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95.718724652776" createdVersion="8" refreshedVersion="8" minRefreshableVersion="3" recordCount="295" xr:uid="{1E5C7E33-FF7F-4C18-8688-5D68901B5CFC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25983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s v="Ultimate"/>
    <x v="0"/>
    <s v="Yes"/>
    <x v="0"/>
    <x v="0"/>
    <s v="Yes"/>
    <n v="30"/>
    <s v="Yes"/>
    <n v="20"/>
    <n v="5"/>
    <n v="60"/>
  </r>
  <r>
    <n v="3232"/>
    <x v="1"/>
    <s v="Core"/>
    <x v="1"/>
    <s v="No"/>
    <x v="1"/>
    <x v="1"/>
    <s v="No"/>
    <s v="-"/>
    <s v="No"/>
    <n v="0"/>
    <n v="0"/>
    <n v="5"/>
  </r>
  <r>
    <n v="3233"/>
    <x v="2"/>
    <s v="Standard"/>
    <x v="2"/>
    <s v="Yes"/>
    <x v="2"/>
    <x v="2"/>
    <s v="No"/>
    <s v="-"/>
    <s v="Yes"/>
    <n v="20"/>
    <n v="10"/>
    <n v="20"/>
  </r>
  <r>
    <n v="3234"/>
    <x v="3"/>
    <s v="Ultimate"/>
    <x v="3"/>
    <s v="No"/>
    <x v="0"/>
    <x v="0"/>
    <s v="Yes"/>
    <n v="30"/>
    <s v="Yes"/>
    <n v="20"/>
    <n v="3"/>
    <n v="62"/>
  </r>
  <r>
    <n v="3235"/>
    <x v="4"/>
    <s v="Core"/>
    <x v="4"/>
    <s v="Yes"/>
    <x v="1"/>
    <x v="0"/>
    <s v="No"/>
    <s v="-"/>
    <s v="No"/>
    <n v="0"/>
    <n v="1"/>
    <n v="4"/>
  </r>
  <r>
    <n v="3236"/>
    <x v="5"/>
    <s v="Standard"/>
    <x v="5"/>
    <s v="No"/>
    <x v="2"/>
    <x v="0"/>
    <s v="No"/>
    <s v="-"/>
    <s v="Yes"/>
    <n v="20"/>
    <n v="2"/>
    <n v="28"/>
  </r>
  <r>
    <n v="3237"/>
    <x v="6"/>
    <s v="Ultimate"/>
    <x v="6"/>
    <s v="Yes"/>
    <x v="0"/>
    <x v="2"/>
    <s v="Yes"/>
    <n v="30"/>
    <s v="Yes"/>
    <n v="20"/>
    <n v="10"/>
    <n v="55"/>
  </r>
  <r>
    <n v="3238"/>
    <x v="7"/>
    <s v="Core"/>
    <x v="7"/>
    <s v="Yes"/>
    <x v="1"/>
    <x v="1"/>
    <s v="No"/>
    <s v="-"/>
    <s v="No"/>
    <n v="0"/>
    <n v="0"/>
    <n v="5"/>
  </r>
  <r>
    <n v="3239"/>
    <x v="8"/>
    <s v="Ultimate"/>
    <x v="4"/>
    <s v="No"/>
    <x v="0"/>
    <x v="0"/>
    <s v="Yes"/>
    <n v="30"/>
    <s v="Yes"/>
    <n v="20"/>
    <n v="5"/>
    <n v="60"/>
  </r>
  <r>
    <n v="3240"/>
    <x v="9"/>
    <s v="Standard"/>
    <x v="8"/>
    <s v="Yes"/>
    <x v="2"/>
    <x v="2"/>
    <s v="No"/>
    <s v="-"/>
    <s v="Yes"/>
    <n v="20"/>
    <n v="15"/>
    <n v="15"/>
  </r>
  <r>
    <n v="3241"/>
    <x v="10"/>
    <s v="Core"/>
    <x v="9"/>
    <s v="No"/>
    <x v="1"/>
    <x v="0"/>
    <s v="No"/>
    <s v="-"/>
    <s v="No"/>
    <n v="0"/>
    <n v="1"/>
    <n v="4"/>
  </r>
  <r>
    <n v="3242"/>
    <x v="11"/>
    <s v="Ultimate"/>
    <x v="10"/>
    <s v="Yes"/>
    <x v="0"/>
    <x v="1"/>
    <s v="Yes"/>
    <n v="30"/>
    <s v="Yes"/>
    <n v="20"/>
    <n v="20"/>
    <n v="45"/>
  </r>
  <r>
    <n v="3243"/>
    <x v="12"/>
    <s v="Standard"/>
    <x v="11"/>
    <s v="No"/>
    <x v="2"/>
    <x v="0"/>
    <s v="No"/>
    <s v="-"/>
    <s v="Yes"/>
    <n v="20"/>
    <n v="10"/>
    <n v="20"/>
  </r>
  <r>
    <n v="3244"/>
    <x v="13"/>
    <s v="Core"/>
    <x v="12"/>
    <s v="Yes"/>
    <x v="1"/>
    <x v="2"/>
    <s v="No"/>
    <s v="-"/>
    <s v="No"/>
    <n v="0"/>
    <n v="0"/>
    <n v="5"/>
  </r>
  <r>
    <n v="3245"/>
    <x v="14"/>
    <s v="Ultimate"/>
    <x v="13"/>
    <s v="No"/>
    <x v="0"/>
    <x v="0"/>
    <s v="Yes"/>
    <n v="30"/>
    <s v="Yes"/>
    <n v="20"/>
    <n v="8"/>
    <n v="57"/>
  </r>
  <r>
    <n v="3246"/>
    <x v="15"/>
    <s v="Standard"/>
    <x v="14"/>
    <s v="Yes"/>
    <x v="2"/>
    <x v="1"/>
    <s v="No"/>
    <s v="-"/>
    <s v="Yes"/>
    <n v="20"/>
    <n v="12"/>
    <n v="18"/>
  </r>
  <r>
    <n v="3247"/>
    <x v="16"/>
    <s v="Core"/>
    <x v="15"/>
    <s v="No"/>
    <x v="1"/>
    <x v="0"/>
    <s v="No"/>
    <s v="-"/>
    <s v="No"/>
    <n v="0"/>
    <n v="2"/>
    <n v="3"/>
  </r>
  <r>
    <n v="3248"/>
    <x v="17"/>
    <s v="Ultimate"/>
    <x v="16"/>
    <s v="Yes"/>
    <x v="0"/>
    <x v="2"/>
    <s v="Yes"/>
    <n v="30"/>
    <s v="Yes"/>
    <n v="20"/>
    <n v="7"/>
    <n v="58"/>
  </r>
  <r>
    <n v="3249"/>
    <x v="18"/>
    <s v="Standard"/>
    <x v="17"/>
    <s v="No"/>
    <x v="2"/>
    <x v="0"/>
    <s v="No"/>
    <s v="-"/>
    <s v="Yes"/>
    <n v="20"/>
    <n v="5"/>
    <n v="25"/>
  </r>
  <r>
    <n v="3250"/>
    <x v="19"/>
    <s v="Core"/>
    <x v="18"/>
    <s v="Yes"/>
    <x v="1"/>
    <x v="1"/>
    <s v="No"/>
    <s v="-"/>
    <s v="No"/>
    <n v="0"/>
    <n v="0"/>
    <n v="5"/>
  </r>
  <r>
    <n v="3251"/>
    <x v="20"/>
    <s v="Ultimate"/>
    <x v="19"/>
    <s v="No"/>
    <x v="0"/>
    <x v="0"/>
    <s v="Yes"/>
    <n v="30"/>
    <s v="Yes"/>
    <n v="20"/>
    <n v="3"/>
    <n v="62"/>
  </r>
  <r>
    <n v="3252"/>
    <x v="21"/>
    <s v="Standard"/>
    <x v="20"/>
    <s v="Yes"/>
    <x v="2"/>
    <x v="2"/>
    <s v="No"/>
    <s v="-"/>
    <s v="Yes"/>
    <n v="20"/>
    <n v="15"/>
    <n v="15"/>
  </r>
  <r>
    <n v="3253"/>
    <x v="22"/>
    <s v="Core"/>
    <x v="21"/>
    <s v="No"/>
    <x v="1"/>
    <x v="0"/>
    <s v="No"/>
    <s v="-"/>
    <s v="No"/>
    <n v="0"/>
    <n v="1"/>
    <n v="4"/>
  </r>
  <r>
    <n v="3254"/>
    <x v="23"/>
    <s v="Ultimate"/>
    <x v="22"/>
    <s v="Yes"/>
    <x v="0"/>
    <x v="1"/>
    <s v="Yes"/>
    <n v="30"/>
    <s v="Yes"/>
    <n v="20"/>
    <n v="20"/>
    <n v="45"/>
  </r>
  <r>
    <n v="3255"/>
    <x v="24"/>
    <s v="Standard"/>
    <x v="23"/>
    <s v="No"/>
    <x v="2"/>
    <x v="0"/>
    <s v="No"/>
    <s v="-"/>
    <s v="Yes"/>
    <n v="20"/>
    <n v="10"/>
    <n v="20"/>
  </r>
  <r>
    <n v="3256"/>
    <x v="25"/>
    <s v="Core"/>
    <x v="24"/>
    <s v="Yes"/>
    <x v="1"/>
    <x v="2"/>
    <s v="No"/>
    <s v="-"/>
    <s v="No"/>
    <n v="0"/>
    <n v="0"/>
    <n v="5"/>
  </r>
  <r>
    <n v="3257"/>
    <x v="26"/>
    <s v="Ultimate"/>
    <x v="25"/>
    <s v="No"/>
    <x v="0"/>
    <x v="0"/>
    <s v="Yes"/>
    <n v="30"/>
    <s v="Yes"/>
    <n v="20"/>
    <n v="5"/>
    <n v="60"/>
  </r>
  <r>
    <n v="3258"/>
    <x v="27"/>
    <s v="Standard"/>
    <x v="26"/>
    <s v="Yes"/>
    <x v="2"/>
    <x v="1"/>
    <s v="No"/>
    <s v="-"/>
    <s v="Yes"/>
    <n v="20"/>
    <n v="15"/>
    <n v="15"/>
  </r>
  <r>
    <n v="3259"/>
    <x v="28"/>
    <s v="Core"/>
    <x v="27"/>
    <s v="No"/>
    <x v="1"/>
    <x v="0"/>
    <s v="No"/>
    <s v="-"/>
    <s v="No"/>
    <n v="0"/>
    <n v="1"/>
    <n v="4"/>
  </r>
  <r>
    <n v="3260"/>
    <x v="29"/>
    <s v="Ultimate"/>
    <x v="28"/>
    <s v="Yes"/>
    <x v="0"/>
    <x v="2"/>
    <s v="Yes"/>
    <n v="30"/>
    <s v="Yes"/>
    <n v="20"/>
    <n v="7"/>
    <n v="58"/>
  </r>
  <r>
    <n v="3261"/>
    <x v="30"/>
    <s v="Standard"/>
    <x v="29"/>
    <s v="No"/>
    <x v="2"/>
    <x v="0"/>
    <s v="No"/>
    <s v="-"/>
    <s v="Yes"/>
    <n v="20"/>
    <n v="10"/>
    <n v="20"/>
  </r>
  <r>
    <n v="3262"/>
    <x v="31"/>
    <s v="Core"/>
    <x v="30"/>
    <s v="Yes"/>
    <x v="1"/>
    <x v="1"/>
    <s v="No"/>
    <s v="-"/>
    <s v="No"/>
    <n v="0"/>
    <n v="0"/>
    <n v="5"/>
  </r>
  <r>
    <n v="3263"/>
    <x v="32"/>
    <s v="Ultimate"/>
    <x v="31"/>
    <s v="No"/>
    <x v="0"/>
    <x v="0"/>
    <s v="Yes"/>
    <n v="30"/>
    <s v="Yes"/>
    <n v="20"/>
    <n v="3"/>
    <n v="62"/>
  </r>
  <r>
    <n v="3264"/>
    <x v="33"/>
    <s v="Standard"/>
    <x v="32"/>
    <s v="Yes"/>
    <x v="2"/>
    <x v="2"/>
    <s v="No"/>
    <s v="-"/>
    <s v="Yes"/>
    <n v="20"/>
    <n v="15"/>
    <n v="15"/>
  </r>
  <r>
    <n v="3265"/>
    <x v="34"/>
    <s v="Core"/>
    <x v="33"/>
    <s v="No"/>
    <x v="1"/>
    <x v="0"/>
    <s v="No"/>
    <s v="-"/>
    <s v="No"/>
    <n v="0"/>
    <n v="1"/>
    <n v="4"/>
  </r>
  <r>
    <n v="3266"/>
    <x v="35"/>
    <s v="Core"/>
    <x v="34"/>
    <s v="Yes"/>
    <x v="1"/>
    <x v="0"/>
    <s v="No"/>
    <s v="-"/>
    <s v="No"/>
    <n v="0"/>
    <n v="0"/>
    <n v="5"/>
  </r>
  <r>
    <n v="3267"/>
    <x v="36"/>
    <s v="Ultimate"/>
    <x v="35"/>
    <s v="No"/>
    <x v="0"/>
    <x v="2"/>
    <s v="Yes"/>
    <n v="30"/>
    <s v="Yes"/>
    <n v="20"/>
    <n v="7"/>
    <n v="58"/>
  </r>
  <r>
    <n v="3268"/>
    <x v="37"/>
    <s v="Standard"/>
    <x v="36"/>
    <s v="Yes"/>
    <x v="2"/>
    <x v="1"/>
    <s v="No"/>
    <s v="-"/>
    <s v="Yes"/>
    <n v="20"/>
    <n v="10"/>
    <n v="20"/>
  </r>
  <r>
    <n v="3269"/>
    <x v="38"/>
    <s v="Core"/>
    <x v="37"/>
    <s v="No"/>
    <x v="1"/>
    <x v="2"/>
    <s v="No"/>
    <s v="-"/>
    <s v="No"/>
    <n v="0"/>
    <n v="1"/>
    <n v="4"/>
  </r>
  <r>
    <n v="3270"/>
    <x v="39"/>
    <s v="Ultimate"/>
    <x v="38"/>
    <s v="Yes"/>
    <x v="0"/>
    <x v="0"/>
    <s v="Yes"/>
    <n v="30"/>
    <s v="Yes"/>
    <n v="20"/>
    <n v="15"/>
    <n v="50"/>
  </r>
  <r>
    <n v="3271"/>
    <x v="40"/>
    <s v="Standard"/>
    <x v="39"/>
    <s v="No"/>
    <x v="2"/>
    <x v="0"/>
    <s v="No"/>
    <s v="-"/>
    <s v="Yes"/>
    <n v="20"/>
    <n v="5"/>
    <n v="25"/>
  </r>
  <r>
    <n v="3272"/>
    <x v="41"/>
    <s v="Core"/>
    <x v="40"/>
    <s v="Yes"/>
    <x v="1"/>
    <x v="1"/>
    <s v="No"/>
    <s v="-"/>
    <s v="No"/>
    <n v="0"/>
    <n v="0"/>
    <n v="5"/>
  </r>
  <r>
    <n v="3273"/>
    <x v="42"/>
    <s v="Ultimate"/>
    <x v="41"/>
    <s v="No"/>
    <x v="0"/>
    <x v="2"/>
    <s v="Yes"/>
    <n v="30"/>
    <s v="Yes"/>
    <n v="20"/>
    <n v="20"/>
    <n v="45"/>
  </r>
  <r>
    <n v="3274"/>
    <x v="43"/>
    <s v="Standard"/>
    <x v="42"/>
    <s v="Yes"/>
    <x v="2"/>
    <x v="2"/>
    <s v="No"/>
    <s v="-"/>
    <s v="Yes"/>
    <n v="20"/>
    <n v="12"/>
    <n v="18"/>
  </r>
  <r>
    <n v="3275"/>
    <x v="44"/>
    <s v="Core"/>
    <x v="43"/>
    <s v="No"/>
    <x v="1"/>
    <x v="0"/>
    <s v="No"/>
    <s v="-"/>
    <s v="No"/>
    <n v="0"/>
    <n v="2"/>
    <n v="3"/>
  </r>
  <r>
    <n v="3276"/>
    <x v="45"/>
    <s v="Ultimate"/>
    <x v="44"/>
    <s v="Yes"/>
    <x v="0"/>
    <x v="1"/>
    <s v="Yes"/>
    <n v="30"/>
    <s v="Yes"/>
    <n v="20"/>
    <n v="5"/>
    <n v="60"/>
  </r>
  <r>
    <n v="3277"/>
    <x v="46"/>
    <s v="Standard"/>
    <x v="45"/>
    <s v="No"/>
    <x v="2"/>
    <x v="0"/>
    <s v="No"/>
    <s v="-"/>
    <s v="Yes"/>
    <n v="20"/>
    <n v="10"/>
    <n v="20"/>
  </r>
  <r>
    <n v="3278"/>
    <x v="47"/>
    <s v="Core"/>
    <x v="46"/>
    <s v="Yes"/>
    <x v="1"/>
    <x v="2"/>
    <s v="No"/>
    <s v="-"/>
    <s v="No"/>
    <n v="0"/>
    <n v="0"/>
    <n v="5"/>
  </r>
  <r>
    <n v="3279"/>
    <x v="48"/>
    <s v="Ultimate"/>
    <x v="47"/>
    <s v="No"/>
    <x v="0"/>
    <x v="0"/>
    <s v="Yes"/>
    <n v="30"/>
    <s v="Yes"/>
    <n v="20"/>
    <n v="3"/>
    <n v="62"/>
  </r>
  <r>
    <n v="3280"/>
    <x v="49"/>
    <s v="Standard"/>
    <x v="48"/>
    <s v="Yes"/>
    <x v="2"/>
    <x v="1"/>
    <s v="No"/>
    <s v="-"/>
    <s v="Yes"/>
    <n v="20"/>
    <n v="15"/>
    <n v="15"/>
  </r>
  <r>
    <n v="3281"/>
    <x v="50"/>
    <s v="Core"/>
    <x v="49"/>
    <s v="No"/>
    <x v="1"/>
    <x v="0"/>
    <s v="No"/>
    <s v="-"/>
    <s v="No"/>
    <n v="0"/>
    <n v="1"/>
    <n v="4"/>
  </r>
  <r>
    <n v="3282"/>
    <x v="51"/>
    <s v="Ultimate"/>
    <x v="50"/>
    <s v="Yes"/>
    <x v="0"/>
    <x v="2"/>
    <s v="Yes"/>
    <n v="30"/>
    <s v="Yes"/>
    <n v="20"/>
    <n v="7"/>
    <n v="58"/>
  </r>
  <r>
    <n v="3283"/>
    <x v="52"/>
    <s v="Standard"/>
    <x v="51"/>
    <s v="No"/>
    <x v="2"/>
    <x v="0"/>
    <s v="No"/>
    <s v="-"/>
    <s v="Yes"/>
    <n v="20"/>
    <n v="10"/>
    <n v="20"/>
  </r>
  <r>
    <n v="3284"/>
    <x v="53"/>
    <s v="Core"/>
    <x v="52"/>
    <s v="Yes"/>
    <x v="1"/>
    <x v="1"/>
    <s v="No"/>
    <s v="-"/>
    <s v="No"/>
    <n v="0"/>
    <n v="0"/>
    <n v="5"/>
  </r>
  <r>
    <n v="3285"/>
    <x v="54"/>
    <s v="Ultimate"/>
    <x v="53"/>
    <s v="No"/>
    <x v="0"/>
    <x v="0"/>
    <s v="Yes"/>
    <n v="30"/>
    <s v="Yes"/>
    <n v="20"/>
    <n v="20"/>
    <n v="45"/>
  </r>
  <r>
    <n v="3286"/>
    <x v="55"/>
    <s v="Standard"/>
    <x v="54"/>
    <s v="Yes"/>
    <x v="2"/>
    <x v="2"/>
    <s v="No"/>
    <s v="-"/>
    <s v="Yes"/>
    <n v="20"/>
    <n v="15"/>
    <n v="15"/>
  </r>
  <r>
    <n v="3287"/>
    <x v="56"/>
    <s v="Core"/>
    <x v="55"/>
    <s v="No"/>
    <x v="1"/>
    <x v="0"/>
    <s v="No"/>
    <s v="-"/>
    <s v="No"/>
    <n v="0"/>
    <n v="1"/>
    <n v="4"/>
  </r>
  <r>
    <n v="3288"/>
    <x v="57"/>
    <s v="Ultimate"/>
    <x v="56"/>
    <s v="Yes"/>
    <x v="0"/>
    <x v="1"/>
    <s v="Yes"/>
    <n v="30"/>
    <s v="Yes"/>
    <n v="20"/>
    <n v="3"/>
    <n v="62"/>
  </r>
  <r>
    <n v="3289"/>
    <x v="58"/>
    <s v="Standard"/>
    <x v="57"/>
    <s v="No"/>
    <x v="2"/>
    <x v="0"/>
    <s v="No"/>
    <s v="-"/>
    <s v="Yes"/>
    <n v="20"/>
    <n v="10"/>
    <n v="20"/>
  </r>
  <r>
    <n v="3290"/>
    <x v="59"/>
    <s v="Core"/>
    <x v="58"/>
    <s v="Yes"/>
    <x v="1"/>
    <x v="2"/>
    <s v="No"/>
    <s v="-"/>
    <s v="No"/>
    <n v="0"/>
    <n v="0"/>
    <n v="5"/>
  </r>
  <r>
    <n v="3291"/>
    <x v="60"/>
    <s v="Ultimate"/>
    <x v="59"/>
    <s v="No"/>
    <x v="0"/>
    <x v="0"/>
    <s v="Yes"/>
    <n v="30"/>
    <s v="Yes"/>
    <n v="20"/>
    <n v="5"/>
    <n v="60"/>
  </r>
  <r>
    <n v="3292"/>
    <x v="61"/>
    <s v="Standard"/>
    <x v="60"/>
    <s v="Yes"/>
    <x v="2"/>
    <x v="1"/>
    <s v="No"/>
    <s v="-"/>
    <s v="Yes"/>
    <n v="20"/>
    <n v="15"/>
    <n v="15"/>
  </r>
  <r>
    <n v="3293"/>
    <x v="62"/>
    <s v="Core"/>
    <x v="61"/>
    <s v="No"/>
    <x v="1"/>
    <x v="0"/>
    <s v="No"/>
    <s v="-"/>
    <s v="No"/>
    <n v="0"/>
    <n v="1"/>
    <n v="4"/>
  </r>
  <r>
    <n v="3294"/>
    <x v="63"/>
    <s v="Ultimate"/>
    <x v="62"/>
    <s v="Yes"/>
    <x v="0"/>
    <x v="2"/>
    <s v="Yes"/>
    <n v="30"/>
    <s v="Yes"/>
    <n v="20"/>
    <n v="20"/>
    <n v="45"/>
  </r>
  <r>
    <n v="3295"/>
    <x v="64"/>
    <s v="Standard"/>
    <x v="63"/>
    <s v="No"/>
    <x v="2"/>
    <x v="0"/>
    <s v="No"/>
    <s v="-"/>
    <s v="Yes"/>
    <n v="20"/>
    <n v="5"/>
    <n v="25"/>
  </r>
  <r>
    <n v="3296"/>
    <x v="65"/>
    <s v="Core"/>
    <x v="64"/>
    <s v="No"/>
    <x v="1"/>
    <x v="0"/>
    <s v="No"/>
    <s v="-"/>
    <s v="No"/>
    <n v="0"/>
    <n v="0"/>
    <n v="5"/>
  </r>
  <r>
    <n v="3297"/>
    <x v="66"/>
    <s v="Ultimate"/>
    <x v="65"/>
    <s v="Yes"/>
    <x v="0"/>
    <x v="2"/>
    <s v="Yes"/>
    <n v="30"/>
    <s v="Yes"/>
    <n v="20"/>
    <n v="7"/>
    <n v="58"/>
  </r>
  <r>
    <n v="3298"/>
    <x v="67"/>
    <s v="Standard"/>
    <x v="66"/>
    <s v="No"/>
    <x v="2"/>
    <x v="1"/>
    <s v="No"/>
    <s v="-"/>
    <s v="Yes"/>
    <n v="20"/>
    <n v="10"/>
    <n v="20"/>
  </r>
  <r>
    <n v="3299"/>
    <x v="68"/>
    <s v="Core"/>
    <x v="67"/>
    <s v="Yes"/>
    <x v="1"/>
    <x v="2"/>
    <s v="No"/>
    <s v="-"/>
    <s v="No"/>
    <n v="0"/>
    <n v="1"/>
    <n v="4"/>
  </r>
  <r>
    <n v="3300"/>
    <x v="69"/>
    <s v="Ultimate"/>
    <x v="68"/>
    <s v="No"/>
    <x v="0"/>
    <x v="0"/>
    <s v="Yes"/>
    <n v="30"/>
    <s v="Yes"/>
    <n v="20"/>
    <n v="15"/>
    <n v="50"/>
  </r>
  <r>
    <n v="3301"/>
    <x v="70"/>
    <s v="Standard"/>
    <x v="69"/>
    <s v="Yes"/>
    <x v="2"/>
    <x v="0"/>
    <s v="No"/>
    <s v="-"/>
    <s v="Yes"/>
    <n v="20"/>
    <n v="5"/>
    <n v="25"/>
  </r>
  <r>
    <n v="3302"/>
    <x v="71"/>
    <s v="Core"/>
    <x v="70"/>
    <s v="No"/>
    <x v="1"/>
    <x v="1"/>
    <s v="No"/>
    <s v="-"/>
    <s v="No"/>
    <n v="0"/>
    <n v="0"/>
    <n v="5"/>
  </r>
  <r>
    <n v="3303"/>
    <x v="72"/>
    <s v="Ultimate"/>
    <x v="71"/>
    <s v="Yes"/>
    <x v="0"/>
    <x v="2"/>
    <s v="Yes"/>
    <n v="30"/>
    <s v="Yes"/>
    <n v="20"/>
    <n v="20"/>
    <n v="45"/>
  </r>
  <r>
    <n v="3304"/>
    <x v="73"/>
    <s v="Standard"/>
    <x v="72"/>
    <s v="No"/>
    <x v="2"/>
    <x v="2"/>
    <s v="No"/>
    <s v="-"/>
    <s v="Yes"/>
    <n v="20"/>
    <n v="12"/>
    <n v="18"/>
  </r>
  <r>
    <n v="3305"/>
    <x v="74"/>
    <s v="Core"/>
    <x v="73"/>
    <s v="Yes"/>
    <x v="1"/>
    <x v="0"/>
    <s v="No"/>
    <s v="-"/>
    <s v="No"/>
    <n v="0"/>
    <n v="2"/>
    <n v="3"/>
  </r>
  <r>
    <n v="3306"/>
    <x v="75"/>
    <s v="Ultimate"/>
    <x v="74"/>
    <s v="No"/>
    <x v="0"/>
    <x v="1"/>
    <s v="Yes"/>
    <n v="30"/>
    <s v="Yes"/>
    <n v="20"/>
    <n v="5"/>
    <n v="60"/>
  </r>
  <r>
    <n v="3307"/>
    <x v="76"/>
    <s v="Standard"/>
    <x v="75"/>
    <s v="Yes"/>
    <x v="2"/>
    <x v="0"/>
    <s v="No"/>
    <s v="-"/>
    <s v="Yes"/>
    <n v="20"/>
    <n v="10"/>
    <n v="20"/>
  </r>
  <r>
    <n v="3308"/>
    <x v="77"/>
    <s v="Core"/>
    <x v="76"/>
    <s v="No"/>
    <x v="1"/>
    <x v="2"/>
    <s v="No"/>
    <s v="-"/>
    <s v="No"/>
    <n v="0"/>
    <n v="0"/>
    <n v="5"/>
  </r>
  <r>
    <n v="3309"/>
    <x v="78"/>
    <s v="Ultimate"/>
    <x v="77"/>
    <s v="Yes"/>
    <x v="0"/>
    <x v="0"/>
    <s v="Yes"/>
    <n v="30"/>
    <s v="Yes"/>
    <n v="20"/>
    <n v="3"/>
    <n v="62"/>
  </r>
  <r>
    <n v="3310"/>
    <x v="79"/>
    <s v="Standard"/>
    <x v="78"/>
    <s v="No"/>
    <x v="2"/>
    <x v="1"/>
    <s v="No"/>
    <s v="-"/>
    <s v="Yes"/>
    <n v="20"/>
    <n v="15"/>
    <n v="15"/>
  </r>
  <r>
    <n v="3311"/>
    <x v="80"/>
    <s v="Core"/>
    <x v="79"/>
    <s v="Yes"/>
    <x v="1"/>
    <x v="0"/>
    <s v="No"/>
    <s v="-"/>
    <s v="No"/>
    <n v="0"/>
    <n v="1"/>
    <n v="4"/>
  </r>
  <r>
    <n v="3312"/>
    <x v="81"/>
    <s v="Ultimate"/>
    <x v="80"/>
    <s v="No"/>
    <x v="0"/>
    <x v="2"/>
    <s v="Yes"/>
    <n v="30"/>
    <s v="Yes"/>
    <n v="20"/>
    <n v="7"/>
    <n v="58"/>
  </r>
  <r>
    <n v="3313"/>
    <x v="82"/>
    <s v="Standard"/>
    <x v="81"/>
    <s v="Yes"/>
    <x v="2"/>
    <x v="0"/>
    <s v="No"/>
    <s v="-"/>
    <s v="Yes"/>
    <n v="20"/>
    <n v="10"/>
    <n v="20"/>
  </r>
  <r>
    <n v="3314"/>
    <x v="83"/>
    <s v="Core"/>
    <x v="82"/>
    <s v="No"/>
    <x v="1"/>
    <x v="1"/>
    <s v="No"/>
    <s v="-"/>
    <s v="No"/>
    <n v="0"/>
    <n v="0"/>
    <n v="5"/>
  </r>
  <r>
    <n v="3315"/>
    <x v="84"/>
    <s v="Ultimate"/>
    <x v="83"/>
    <s v="Yes"/>
    <x v="0"/>
    <x v="0"/>
    <s v="Yes"/>
    <n v="30"/>
    <s v="Yes"/>
    <n v="20"/>
    <n v="20"/>
    <n v="45"/>
  </r>
  <r>
    <n v="3316"/>
    <x v="85"/>
    <s v="Standard"/>
    <x v="84"/>
    <s v="No"/>
    <x v="2"/>
    <x v="2"/>
    <s v="No"/>
    <s v="-"/>
    <s v="Yes"/>
    <n v="20"/>
    <n v="15"/>
    <n v="15"/>
  </r>
  <r>
    <n v="3317"/>
    <x v="86"/>
    <s v="Core"/>
    <x v="85"/>
    <s v="Yes"/>
    <x v="1"/>
    <x v="0"/>
    <s v="No"/>
    <s v="-"/>
    <s v="No"/>
    <n v="0"/>
    <n v="1"/>
    <n v="4"/>
  </r>
  <r>
    <n v="3318"/>
    <x v="87"/>
    <s v="Ultimate"/>
    <x v="86"/>
    <s v="No"/>
    <x v="0"/>
    <x v="1"/>
    <s v="Yes"/>
    <n v="30"/>
    <s v="Yes"/>
    <n v="20"/>
    <n v="3"/>
    <n v="62"/>
  </r>
  <r>
    <n v="3319"/>
    <x v="88"/>
    <s v="Standard"/>
    <x v="87"/>
    <s v="Yes"/>
    <x v="2"/>
    <x v="0"/>
    <s v="No"/>
    <s v="-"/>
    <s v="Yes"/>
    <n v="20"/>
    <n v="10"/>
    <n v="20"/>
  </r>
  <r>
    <n v="3320"/>
    <x v="89"/>
    <s v="Core"/>
    <x v="88"/>
    <s v="No"/>
    <x v="1"/>
    <x v="2"/>
    <s v="No"/>
    <s v="-"/>
    <s v="No"/>
    <n v="0"/>
    <n v="0"/>
    <n v="5"/>
  </r>
  <r>
    <n v="3321"/>
    <x v="90"/>
    <s v="Ultimate"/>
    <x v="89"/>
    <s v="Yes"/>
    <x v="0"/>
    <x v="0"/>
    <s v="Yes"/>
    <n v="30"/>
    <s v="Yes"/>
    <n v="20"/>
    <n v="5"/>
    <n v="60"/>
  </r>
  <r>
    <n v="3322"/>
    <x v="91"/>
    <s v="Standard"/>
    <x v="90"/>
    <s v="No"/>
    <x v="2"/>
    <x v="1"/>
    <s v="No"/>
    <s v="-"/>
    <s v="Yes"/>
    <n v="20"/>
    <n v="15"/>
    <n v="15"/>
  </r>
  <r>
    <n v="3323"/>
    <x v="92"/>
    <s v="Core"/>
    <x v="91"/>
    <s v="Yes"/>
    <x v="1"/>
    <x v="0"/>
    <s v="No"/>
    <s v="-"/>
    <s v="No"/>
    <n v="0"/>
    <n v="1"/>
    <n v="4"/>
  </r>
  <r>
    <n v="3324"/>
    <x v="93"/>
    <s v="Ultimate"/>
    <x v="92"/>
    <s v="No"/>
    <x v="0"/>
    <x v="2"/>
    <s v="Yes"/>
    <n v="30"/>
    <s v="Yes"/>
    <n v="20"/>
    <n v="20"/>
    <n v="45"/>
  </r>
  <r>
    <n v="3325"/>
    <x v="94"/>
    <s v="Standard"/>
    <x v="93"/>
    <s v="Yes"/>
    <x v="2"/>
    <x v="2"/>
    <s v="No"/>
    <s v="-"/>
    <s v="Yes"/>
    <n v="20"/>
    <n v="15"/>
    <n v="15"/>
  </r>
  <r>
    <n v="3326"/>
    <x v="95"/>
    <s v="Core"/>
    <x v="94"/>
    <s v="No"/>
    <x v="1"/>
    <x v="1"/>
    <s v="No"/>
    <s v="-"/>
    <s v="No"/>
    <n v="0"/>
    <n v="0"/>
    <n v="5"/>
  </r>
  <r>
    <n v="3327"/>
    <x v="96"/>
    <s v="Ultimate"/>
    <x v="95"/>
    <s v="Yes"/>
    <x v="0"/>
    <x v="0"/>
    <s v="Yes"/>
    <n v="30"/>
    <s v="Yes"/>
    <n v="20"/>
    <n v="7"/>
    <n v="58"/>
  </r>
  <r>
    <n v="3328"/>
    <x v="97"/>
    <s v="Standard"/>
    <x v="96"/>
    <s v="No"/>
    <x v="2"/>
    <x v="1"/>
    <s v="No"/>
    <s v="-"/>
    <s v="Yes"/>
    <n v="20"/>
    <n v="10"/>
    <n v="20"/>
  </r>
  <r>
    <n v="3329"/>
    <x v="98"/>
    <s v="Core"/>
    <x v="97"/>
    <s v="Yes"/>
    <x v="1"/>
    <x v="2"/>
    <s v="No"/>
    <s v="-"/>
    <s v="No"/>
    <n v="0"/>
    <n v="1"/>
    <n v="4"/>
  </r>
  <r>
    <n v="3330"/>
    <x v="99"/>
    <s v="Ultimate"/>
    <x v="98"/>
    <s v="No"/>
    <x v="0"/>
    <x v="0"/>
    <s v="Yes"/>
    <n v="30"/>
    <s v="Yes"/>
    <n v="20"/>
    <n v="15"/>
    <n v="50"/>
  </r>
  <r>
    <n v="3331"/>
    <x v="100"/>
    <s v="Standard"/>
    <x v="99"/>
    <s v="Yes"/>
    <x v="2"/>
    <x v="0"/>
    <s v="No"/>
    <s v="-"/>
    <s v="Yes"/>
    <n v="20"/>
    <n v="5"/>
    <n v="25"/>
  </r>
  <r>
    <n v="3332"/>
    <x v="101"/>
    <s v="Core"/>
    <x v="100"/>
    <s v="No"/>
    <x v="1"/>
    <x v="1"/>
    <s v="No"/>
    <s v="-"/>
    <s v="No"/>
    <n v="0"/>
    <n v="0"/>
    <n v="5"/>
  </r>
  <r>
    <n v="3333"/>
    <x v="102"/>
    <s v="Ultimate"/>
    <x v="101"/>
    <s v="Yes"/>
    <x v="0"/>
    <x v="2"/>
    <s v="Yes"/>
    <n v="30"/>
    <s v="Yes"/>
    <n v="20"/>
    <n v="20"/>
    <n v="45"/>
  </r>
  <r>
    <n v="3334"/>
    <x v="103"/>
    <s v="Standard"/>
    <x v="102"/>
    <s v="No"/>
    <x v="2"/>
    <x v="2"/>
    <s v="No"/>
    <s v="-"/>
    <s v="Yes"/>
    <n v="20"/>
    <n v="12"/>
    <n v="18"/>
  </r>
  <r>
    <n v="3335"/>
    <x v="104"/>
    <s v="Core"/>
    <x v="103"/>
    <s v="Yes"/>
    <x v="1"/>
    <x v="0"/>
    <s v="No"/>
    <s v="-"/>
    <s v="No"/>
    <n v="0"/>
    <n v="2"/>
    <n v="3"/>
  </r>
  <r>
    <n v="3336"/>
    <x v="105"/>
    <s v="Core"/>
    <x v="104"/>
    <s v="Yes"/>
    <x v="1"/>
    <x v="0"/>
    <s v="No"/>
    <s v="-"/>
    <s v="No"/>
    <n v="0"/>
    <n v="0"/>
    <n v="5"/>
  </r>
  <r>
    <n v="3337"/>
    <x v="106"/>
    <s v="Ultimate"/>
    <x v="105"/>
    <s v="No"/>
    <x v="0"/>
    <x v="2"/>
    <s v="Yes"/>
    <n v="30"/>
    <s v="Yes"/>
    <n v="20"/>
    <n v="7"/>
    <n v="58"/>
  </r>
  <r>
    <n v="3338"/>
    <x v="107"/>
    <s v="Standard"/>
    <x v="106"/>
    <s v="Yes"/>
    <x v="2"/>
    <x v="1"/>
    <s v="No"/>
    <s v="-"/>
    <s v="Yes"/>
    <n v="20"/>
    <n v="10"/>
    <n v="20"/>
  </r>
  <r>
    <n v="3339"/>
    <x v="108"/>
    <s v="Core"/>
    <x v="107"/>
    <s v="No"/>
    <x v="1"/>
    <x v="2"/>
    <s v="No"/>
    <s v="-"/>
    <s v="No"/>
    <n v="0"/>
    <n v="1"/>
    <n v="4"/>
  </r>
  <r>
    <n v="3340"/>
    <x v="109"/>
    <s v="Ultimate"/>
    <x v="108"/>
    <s v="Yes"/>
    <x v="0"/>
    <x v="0"/>
    <s v="Yes"/>
    <n v="30"/>
    <s v="Yes"/>
    <n v="20"/>
    <n v="15"/>
    <n v="50"/>
  </r>
  <r>
    <n v="3341"/>
    <x v="110"/>
    <s v="Standard"/>
    <x v="109"/>
    <s v="No"/>
    <x v="2"/>
    <x v="0"/>
    <s v="No"/>
    <s v="-"/>
    <s v="Yes"/>
    <n v="20"/>
    <n v="5"/>
    <n v="25"/>
  </r>
  <r>
    <n v="3342"/>
    <x v="111"/>
    <s v="Core"/>
    <x v="110"/>
    <s v="Yes"/>
    <x v="1"/>
    <x v="1"/>
    <s v="No"/>
    <s v="-"/>
    <s v="No"/>
    <n v="0"/>
    <n v="0"/>
    <n v="5"/>
  </r>
  <r>
    <n v="3343"/>
    <x v="112"/>
    <s v="Ultimate"/>
    <x v="111"/>
    <s v="No"/>
    <x v="0"/>
    <x v="2"/>
    <s v="Yes"/>
    <n v="30"/>
    <s v="Yes"/>
    <n v="20"/>
    <n v="20"/>
    <n v="45"/>
  </r>
  <r>
    <n v="3344"/>
    <x v="113"/>
    <s v="Standard"/>
    <x v="112"/>
    <s v="Yes"/>
    <x v="2"/>
    <x v="2"/>
    <s v="No"/>
    <s v="-"/>
    <s v="Yes"/>
    <n v="20"/>
    <n v="12"/>
    <n v="18"/>
  </r>
  <r>
    <n v="3345"/>
    <x v="114"/>
    <s v="Core"/>
    <x v="113"/>
    <s v="No"/>
    <x v="1"/>
    <x v="0"/>
    <s v="No"/>
    <s v="-"/>
    <s v="No"/>
    <n v="0"/>
    <n v="2"/>
    <n v="3"/>
  </r>
  <r>
    <n v="3346"/>
    <x v="115"/>
    <s v="Ultimate"/>
    <x v="114"/>
    <s v="Yes"/>
    <x v="0"/>
    <x v="1"/>
    <s v="Yes"/>
    <n v="30"/>
    <s v="Yes"/>
    <n v="20"/>
    <n v="5"/>
    <n v="60"/>
  </r>
  <r>
    <n v="3347"/>
    <x v="116"/>
    <s v="Standard"/>
    <x v="115"/>
    <s v="No"/>
    <x v="2"/>
    <x v="0"/>
    <s v="No"/>
    <s v="-"/>
    <s v="Yes"/>
    <n v="20"/>
    <n v="10"/>
    <n v="20"/>
  </r>
  <r>
    <n v="3348"/>
    <x v="117"/>
    <s v="Core"/>
    <x v="116"/>
    <s v="Yes"/>
    <x v="1"/>
    <x v="2"/>
    <s v="No"/>
    <s v="-"/>
    <s v="No"/>
    <n v="0"/>
    <n v="0"/>
    <n v="5"/>
  </r>
  <r>
    <n v="3349"/>
    <x v="93"/>
    <s v="Ultimate"/>
    <x v="117"/>
    <s v="No"/>
    <x v="0"/>
    <x v="0"/>
    <s v="Yes"/>
    <n v="30"/>
    <s v="Yes"/>
    <n v="20"/>
    <n v="3"/>
    <n v="62"/>
  </r>
  <r>
    <n v="3350"/>
    <x v="118"/>
    <s v="Standard"/>
    <x v="118"/>
    <s v="Yes"/>
    <x v="2"/>
    <x v="1"/>
    <s v="No"/>
    <s v="-"/>
    <s v="Yes"/>
    <n v="20"/>
    <n v="15"/>
    <n v="15"/>
  </r>
  <r>
    <n v="3351"/>
    <x v="119"/>
    <s v="Core"/>
    <x v="119"/>
    <s v="No"/>
    <x v="1"/>
    <x v="0"/>
    <s v="No"/>
    <s v="-"/>
    <s v="No"/>
    <n v="0"/>
    <n v="1"/>
    <n v="4"/>
  </r>
  <r>
    <n v="3352"/>
    <x v="120"/>
    <s v="Ultimate"/>
    <x v="120"/>
    <s v="Yes"/>
    <x v="0"/>
    <x v="2"/>
    <s v="Yes"/>
    <n v="30"/>
    <s v="Yes"/>
    <n v="20"/>
    <n v="7"/>
    <n v="58"/>
  </r>
  <r>
    <n v="3353"/>
    <x v="121"/>
    <s v="Standard"/>
    <x v="121"/>
    <s v="No"/>
    <x v="2"/>
    <x v="0"/>
    <s v="No"/>
    <s v="-"/>
    <s v="Yes"/>
    <n v="20"/>
    <n v="10"/>
    <n v="20"/>
  </r>
  <r>
    <n v="3354"/>
    <x v="122"/>
    <s v="Core"/>
    <x v="122"/>
    <s v="Yes"/>
    <x v="1"/>
    <x v="1"/>
    <s v="No"/>
    <s v="-"/>
    <s v="No"/>
    <n v="0"/>
    <n v="0"/>
    <n v="5"/>
  </r>
  <r>
    <n v="3355"/>
    <x v="123"/>
    <s v="Ultimate"/>
    <x v="123"/>
    <s v="No"/>
    <x v="0"/>
    <x v="0"/>
    <s v="Yes"/>
    <n v="30"/>
    <s v="Yes"/>
    <n v="20"/>
    <n v="20"/>
    <n v="45"/>
  </r>
  <r>
    <n v="3356"/>
    <x v="124"/>
    <s v="Standard"/>
    <x v="124"/>
    <s v="Yes"/>
    <x v="2"/>
    <x v="2"/>
    <s v="No"/>
    <s v="-"/>
    <s v="Yes"/>
    <n v="20"/>
    <n v="15"/>
    <n v="15"/>
  </r>
  <r>
    <n v="3357"/>
    <x v="125"/>
    <s v="Core"/>
    <x v="125"/>
    <s v="No"/>
    <x v="1"/>
    <x v="0"/>
    <s v="No"/>
    <s v="-"/>
    <s v="No"/>
    <n v="0"/>
    <n v="1"/>
    <n v="4"/>
  </r>
  <r>
    <n v="3358"/>
    <x v="126"/>
    <s v="Ultimate"/>
    <x v="126"/>
    <s v="Yes"/>
    <x v="0"/>
    <x v="1"/>
    <s v="Yes"/>
    <n v="30"/>
    <s v="Yes"/>
    <n v="20"/>
    <n v="3"/>
    <n v="62"/>
  </r>
  <r>
    <n v="3359"/>
    <x v="127"/>
    <s v="Standard"/>
    <x v="127"/>
    <s v="No"/>
    <x v="2"/>
    <x v="0"/>
    <s v="No"/>
    <s v="-"/>
    <s v="Yes"/>
    <n v="20"/>
    <n v="10"/>
    <n v="20"/>
  </r>
  <r>
    <n v="3360"/>
    <x v="128"/>
    <s v="Core"/>
    <x v="128"/>
    <s v="Yes"/>
    <x v="1"/>
    <x v="2"/>
    <s v="No"/>
    <s v="-"/>
    <s v="No"/>
    <n v="0"/>
    <n v="0"/>
    <n v="5"/>
  </r>
  <r>
    <n v="3361"/>
    <x v="129"/>
    <s v="Ultimate"/>
    <x v="129"/>
    <s v="No"/>
    <x v="0"/>
    <x v="0"/>
    <s v="Yes"/>
    <n v="30"/>
    <s v="Yes"/>
    <n v="20"/>
    <n v="15"/>
    <n v="50"/>
  </r>
  <r>
    <n v="3362"/>
    <x v="130"/>
    <s v="Standard"/>
    <x v="130"/>
    <s v="Yes"/>
    <x v="2"/>
    <x v="1"/>
    <s v="No"/>
    <s v="-"/>
    <s v="Yes"/>
    <n v="20"/>
    <n v="15"/>
    <n v="15"/>
  </r>
  <r>
    <n v="3363"/>
    <x v="131"/>
    <s v="Core"/>
    <x v="131"/>
    <s v="No"/>
    <x v="1"/>
    <x v="0"/>
    <s v="No"/>
    <s v="-"/>
    <s v="No"/>
    <n v="0"/>
    <n v="1"/>
    <n v="4"/>
  </r>
  <r>
    <n v="3364"/>
    <x v="132"/>
    <s v="Ultimate"/>
    <x v="132"/>
    <s v="Yes"/>
    <x v="0"/>
    <x v="2"/>
    <s v="Yes"/>
    <n v="30"/>
    <s v="Yes"/>
    <n v="20"/>
    <n v="7"/>
    <n v="58"/>
  </r>
  <r>
    <n v="3365"/>
    <x v="133"/>
    <s v="Standard"/>
    <x v="133"/>
    <s v="No"/>
    <x v="2"/>
    <x v="0"/>
    <s v="No"/>
    <s v="-"/>
    <s v="Yes"/>
    <n v="20"/>
    <n v="10"/>
    <n v="20"/>
  </r>
  <r>
    <n v="3366"/>
    <x v="134"/>
    <s v="Core"/>
    <x v="134"/>
    <s v="Yes"/>
    <x v="1"/>
    <x v="0"/>
    <s v="No"/>
    <s v="-"/>
    <s v="No"/>
    <n v="0"/>
    <n v="0"/>
    <n v="5"/>
  </r>
  <r>
    <n v="3367"/>
    <x v="135"/>
    <s v="Ultimate"/>
    <x v="135"/>
    <s v="No"/>
    <x v="0"/>
    <x v="2"/>
    <s v="Yes"/>
    <n v="30"/>
    <s v="Yes"/>
    <n v="20"/>
    <n v="7"/>
    <n v="58"/>
  </r>
  <r>
    <n v="3368"/>
    <x v="136"/>
    <s v="Standard"/>
    <x v="136"/>
    <s v="Yes"/>
    <x v="2"/>
    <x v="1"/>
    <s v="No"/>
    <s v="-"/>
    <s v="Yes"/>
    <n v="20"/>
    <n v="10"/>
    <n v="20"/>
  </r>
  <r>
    <n v="3369"/>
    <x v="137"/>
    <s v="Core"/>
    <x v="137"/>
    <s v="No"/>
    <x v="1"/>
    <x v="2"/>
    <s v="No"/>
    <s v="-"/>
    <s v="No"/>
    <n v="0"/>
    <n v="1"/>
    <n v="4"/>
  </r>
  <r>
    <n v="3370"/>
    <x v="138"/>
    <s v="Ultimate"/>
    <x v="138"/>
    <s v="Yes"/>
    <x v="0"/>
    <x v="0"/>
    <s v="Yes"/>
    <n v="30"/>
    <s v="Yes"/>
    <n v="20"/>
    <n v="15"/>
    <n v="50"/>
  </r>
  <r>
    <n v="3371"/>
    <x v="139"/>
    <s v="Standard"/>
    <x v="139"/>
    <s v="No"/>
    <x v="2"/>
    <x v="0"/>
    <s v="No"/>
    <s v="-"/>
    <s v="Yes"/>
    <n v="20"/>
    <n v="5"/>
    <n v="25"/>
  </r>
  <r>
    <n v="3372"/>
    <x v="140"/>
    <s v="Core"/>
    <x v="140"/>
    <s v="Yes"/>
    <x v="1"/>
    <x v="1"/>
    <s v="No"/>
    <s v="-"/>
    <s v="No"/>
    <n v="0"/>
    <n v="0"/>
    <n v="5"/>
  </r>
  <r>
    <n v="3373"/>
    <x v="141"/>
    <s v="Ultimate"/>
    <x v="141"/>
    <s v="No"/>
    <x v="0"/>
    <x v="2"/>
    <s v="Yes"/>
    <n v="30"/>
    <s v="Yes"/>
    <n v="20"/>
    <n v="20"/>
    <n v="45"/>
  </r>
  <r>
    <n v="3374"/>
    <x v="142"/>
    <s v="Standard"/>
    <x v="142"/>
    <s v="Yes"/>
    <x v="2"/>
    <x v="2"/>
    <s v="No"/>
    <s v="-"/>
    <s v="Yes"/>
    <n v="20"/>
    <n v="12"/>
    <n v="18"/>
  </r>
  <r>
    <n v="3375"/>
    <x v="143"/>
    <s v="Core"/>
    <x v="143"/>
    <s v="No"/>
    <x v="1"/>
    <x v="0"/>
    <s v="No"/>
    <s v="-"/>
    <s v="No"/>
    <n v="0"/>
    <n v="2"/>
    <n v="3"/>
  </r>
  <r>
    <n v="3376"/>
    <x v="144"/>
    <s v="Ultimate"/>
    <x v="144"/>
    <s v="Yes"/>
    <x v="0"/>
    <x v="1"/>
    <s v="Yes"/>
    <n v="30"/>
    <s v="Yes"/>
    <n v="20"/>
    <n v="5"/>
    <n v="60"/>
  </r>
  <r>
    <n v="3377"/>
    <x v="145"/>
    <s v="Standard"/>
    <x v="145"/>
    <s v="No"/>
    <x v="2"/>
    <x v="0"/>
    <s v="No"/>
    <s v="-"/>
    <s v="Yes"/>
    <n v="20"/>
    <n v="10"/>
    <n v="20"/>
  </r>
  <r>
    <n v="3378"/>
    <x v="146"/>
    <s v="Core"/>
    <x v="146"/>
    <s v="Yes"/>
    <x v="1"/>
    <x v="2"/>
    <s v="No"/>
    <s v="-"/>
    <s v="No"/>
    <n v="0"/>
    <n v="0"/>
    <n v="5"/>
  </r>
  <r>
    <n v="3379"/>
    <x v="147"/>
    <s v="Ultimate"/>
    <x v="147"/>
    <s v="No"/>
    <x v="0"/>
    <x v="0"/>
    <s v="Yes"/>
    <n v="30"/>
    <s v="Yes"/>
    <n v="20"/>
    <n v="3"/>
    <n v="62"/>
  </r>
  <r>
    <n v="3380"/>
    <x v="148"/>
    <s v="Standard"/>
    <x v="148"/>
    <s v="Yes"/>
    <x v="2"/>
    <x v="1"/>
    <s v="No"/>
    <s v="-"/>
    <s v="Yes"/>
    <n v="20"/>
    <n v="15"/>
    <n v="15"/>
  </r>
  <r>
    <n v="3381"/>
    <x v="149"/>
    <s v="Core"/>
    <x v="149"/>
    <s v="No"/>
    <x v="1"/>
    <x v="0"/>
    <s v="No"/>
    <s v="-"/>
    <s v="No"/>
    <n v="0"/>
    <n v="1"/>
    <n v="4"/>
  </r>
  <r>
    <n v="3382"/>
    <x v="150"/>
    <s v="Ultimate"/>
    <x v="150"/>
    <s v="Yes"/>
    <x v="0"/>
    <x v="2"/>
    <s v="Yes"/>
    <n v="30"/>
    <s v="Yes"/>
    <n v="20"/>
    <n v="7"/>
    <n v="58"/>
  </r>
  <r>
    <n v="3383"/>
    <x v="151"/>
    <s v="Standard"/>
    <x v="151"/>
    <s v="No"/>
    <x v="2"/>
    <x v="0"/>
    <s v="No"/>
    <s v="-"/>
    <s v="Yes"/>
    <n v="20"/>
    <n v="10"/>
    <n v="20"/>
  </r>
  <r>
    <n v="3384"/>
    <x v="152"/>
    <s v="Core"/>
    <x v="152"/>
    <s v="Yes"/>
    <x v="1"/>
    <x v="1"/>
    <s v="No"/>
    <s v="-"/>
    <s v="No"/>
    <n v="0"/>
    <n v="0"/>
    <n v="5"/>
  </r>
  <r>
    <n v="3385"/>
    <x v="153"/>
    <s v="Ultimate"/>
    <x v="153"/>
    <s v="No"/>
    <x v="0"/>
    <x v="0"/>
    <s v="Yes"/>
    <n v="30"/>
    <s v="Yes"/>
    <n v="20"/>
    <n v="20"/>
    <n v="45"/>
  </r>
  <r>
    <n v="3386"/>
    <x v="154"/>
    <s v="Standard"/>
    <x v="154"/>
    <s v="Yes"/>
    <x v="2"/>
    <x v="2"/>
    <s v="No"/>
    <s v="-"/>
    <s v="Yes"/>
    <n v="20"/>
    <n v="15"/>
    <n v="15"/>
  </r>
  <r>
    <n v="3387"/>
    <x v="155"/>
    <s v="Core"/>
    <x v="155"/>
    <s v="No"/>
    <x v="1"/>
    <x v="0"/>
    <s v="No"/>
    <s v="-"/>
    <s v="No"/>
    <n v="0"/>
    <n v="1"/>
    <n v="4"/>
  </r>
  <r>
    <n v="3388"/>
    <x v="156"/>
    <s v="Ultimate"/>
    <x v="156"/>
    <s v="Yes"/>
    <x v="0"/>
    <x v="1"/>
    <s v="Yes"/>
    <n v="30"/>
    <s v="Yes"/>
    <n v="20"/>
    <n v="3"/>
    <n v="62"/>
  </r>
  <r>
    <n v="3389"/>
    <x v="157"/>
    <s v="Standard"/>
    <x v="157"/>
    <s v="No"/>
    <x v="2"/>
    <x v="0"/>
    <s v="No"/>
    <s v="-"/>
    <s v="Yes"/>
    <n v="20"/>
    <n v="10"/>
    <n v="20"/>
  </r>
  <r>
    <n v="3390"/>
    <x v="158"/>
    <s v="Core"/>
    <x v="158"/>
    <s v="Yes"/>
    <x v="1"/>
    <x v="2"/>
    <s v="No"/>
    <s v="-"/>
    <s v="No"/>
    <n v="0"/>
    <n v="0"/>
    <n v="5"/>
  </r>
  <r>
    <n v="3391"/>
    <x v="58"/>
    <s v="Ultimate"/>
    <x v="159"/>
    <s v="No"/>
    <x v="0"/>
    <x v="0"/>
    <s v="Yes"/>
    <n v="30"/>
    <s v="Yes"/>
    <n v="20"/>
    <n v="15"/>
    <n v="50"/>
  </r>
  <r>
    <n v="3392"/>
    <x v="159"/>
    <s v="Standard"/>
    <x v="160"/>
    <s v="Yes"/>
    <x v="2"/>
    <x v="1"/>
    <s v="No"/>
    <s v="-"/>
    <s v="Yes"/>
    <n v="20"/>
    <n v="15"/>
    <n v="15"/>
  </r>
  <r>
    <n v="3393"/>
    <x v="160"/>
    <s v="Core"/>
    <x v="161"/>
    <s v="No"/>
    <x v="1"/>
    <x v="0"/>
    <s v="No"/>
    <s v="-"/>
    <s v="No"/>
    <n v="0"/>
    <n v="1"/>
    <n v="4"/>
  </r>
  <r>
    <n v="3394"/>
    <x v="161"/>
    <s v="Ultimate"/>
    <x v="162"/>
    <s v="Yes"/>
    <x v="0"/>
    <x v="2"/>
    <s v="Yes"/>
    <n v="30"/>
    <s v="Yes"/>
    <n v="20"/>
    <n v="7"/>
    <n v="58"/>
  </r>
  <r>
    <n v="3395"/>
    <x v="162"/>
    <s v="Standard"/>
    <x v="163"/>
    <s v="No"/>
    <x v="2"/>
    <x v="0"/>
    <s v="No"/>
    <s v="-"/>
    <s v="Yes"/>
    <n v="20"/>
    <n v="10"/>
    <n v="20"/>
  </r>
  <r>
    <n v="3396"/>
    <x v="163"/>
    <s v="Core"/>
    <x v="164"/>
    <s v="Yes"/>
    <x v="1"/>
    <x v="1"/>
    <s v="No"/>
    <s v="-"/>
    <s v="No"/>
    <n v="0"/>
    <n v="0"/>
    <n v="5"/>
  </r>
  <r>
    <n v="3397"/>
    <x v="90"/>
    <s v="Ultimate"/>
    <x v="165"/>
    <s v="No"/>
    <x v="0"/>
    <x v="0"/>
    <s v="Yes"/>
    <n v="30"/>
    <s v="Yes"/>
    <n v="20"/>
    <n v="20"/>
    <n v="45"/>
  </r>
  <r>
    <n v="3398"/>
    <x v="164"/>
    <s v="Standard"/>
    <x v="166"/>
    <s v="Yes"/>
    <x v="2"/>
    <x v="2"/>
    <s v="No"/>
    <s v="-"/>
    <s v="Yes"/>
    <n v="20"/>
    <n v="15"/>
    <n v="15"/>
  </r>
  <r>
    <n v="3399"/>
    <x v="165"/>
    <s v="Core"/>
    <x v="167"/>
    <s v="No"/>
    <x v="1"/>
    <x v="0"/>
    <s v="No"/>
    <s v="-"/>
    <s v="No"/>
    <n v="0"/>
    <n v="1"/>
    <n v="4"/>
  </r>
  <r>
    <n v="3400"/>
    <x v="166"/>
    <s v="Ultimate"/>
    <x v="168"/>
    <s v="Yes"/>
    <x v="0"/>
    <x v="1"/>
    <s v="Yes"/>
    <n v="30"/>
    <s v="Yes"/>
    <n v="20"/>
    <n v="5"/>
    <n v="60"/>
  </r>
  <r>
    <n v="3401"/>
    <x v="167"/>
    <s v="Standard"/>
    <x v="169"/>
    <s v="No"/>
    <x v="2"/>
    <x v="0"/>
    <s v="No"/>
    <s v="-"/>
    <s v="Yes"/>
    <n v="20"/>
    <n v="10"/>
    <n v="20"/>
  </r>
  <r>
    <n v="3402"/>
    <x v="168"/>
    <s v="Core"/>
    <x v="170"/>
    <s v="Yes"/>
    <x v="1"/>
    <x v="2"/>
    <s v="No"/>
    <s v="-"/>
    <s v="No"/>
    <n v="0"/>
    <n v="0"/>
    <n v="5"/>
  </r>
  <r>
    <n v="3403"/>
    <x v="169"/>
    <s v="Ultimate"/>
    <x v="171"/>
    <s v="No"/>
    <x v="0"/>
    <x v="0"/>
    <s v="Yes"/>
    <n v="30"/>
    <s v="Yes"/>
    <n v="20"/>
    <n v="3"/>
    <n v="62"/>
  </r>
  <r>
    <n v="3404"/>
    <x v="170"/>
    <s v="Standard"/>
    <x v="172"/>
    <s v="Yes"/>
    <x v="2"/>
    <x v="1"/>
    <s v="No"/>
    <s v="-"/>
    <s v="Yes"/>
    <n v="20"/>
    <n v="15"/>
    <n v="15"/>
  </r>
  <r>
    <n v="3405"/>
    <x v="171"/>
    <s v="Core"/>
    <x v="173"/>
    <s v="No"/>
    <x v="1"/>
    <x v="0"/>
    <s v="No"/>
    <s v="-"/>
    <s v="No"/>
    <n v="0"/>
    <n v="1"/>
    <n v="4"/>
  </r>
  <r>
    <n v="3406"/>
    <x v="172"/>
    <s v="Core"/>
    <x v="174"/>
    <s v="Yes"/>
    <x v="1"/>
    <x v="0"/>
    <s v="No"/>
    <s v="-"/>
    <s v="No"/>
    <n v="0"/>
    <n v="0"/>
    <n v="5"/>
  </r>
  <r>
    <n v="3407"/>
    <x v="173"/>
    <s v="Ultimate"/>
    <x v="175"/>
    <s v="No"/>
    <x v="0"/>
    <x v="2"/>
    <s v="Yes"/>
    <n v="30"/>
    <s v="Yes"/>
    <n v="20"/>
    <n v="7"/>
    <n v="58"/>
  </r>
  <r>
    <n v="3408"/>
    <x v="174"/>
    <s v="Standard"/>
    <x v="176"/>
    <s v="Yes"/>
    <x v="2"/>
    <x v="1"/>
    <s v="No"/>
    <s v="-"/>
    <s v="Yes"/>
    <n v="20"/>
    <n v="10"/>
    <n v="20"/>
  </r>
  <r>
    <n v="3409"/>
    <x v="175"/>
    <s v="Core"/>
    <x v="177"/>
    <s v="No"/>
    <x v="1"/>
    <x v="2"/>
    <s v="No"/>
    <s v="-"/>
    <s v="No"/>
    <n v="0"/>
    <n v="1"/>
    <n v="4"/>
  </r>
  <r>
    <n v="3410"/>
    <x v="176"/>
    <s v="Ultimate"/>
    <x v="178"/>
    <s v="Yes"/>
    <x v="0"/>
    <x v="0"/>
    <s v="Yes"/>
    <n v="30"/>
    <s v="Yes"/>
    <n v="20"/>
    <n v="15"/>
    <n v="50"/>
  </r>
  <r>
    <n v="3411"/>
    <x v="177"/>
    <s v="Standard"/>
    <x v="179"/>
    <s v="No"/>
    <x v="2"/>
    <x v="0"/>
    <s v="No"/>
    <s v="-"/>
    <s v="Yes"/>
    <n v="20"/>
    <n v="5"/>
    <n v="25"/>
  </r>
  <r>
    <n v="3412"/>
    <x v="178"/>
    <s v="Core"/>
    <x v="180"/>
    <s v="Yes"/>
    <x v="1"/>
    <x v="1"/>
    <s v="No"/>
    <s v="-"/>
    <s v="No"/>
    <n v="0"/>
    <n v="0"/>
    <n v="5"/>
  </r>
  <r>
    <n v="3413"/>
    <x v="179"/>
    <s v="Ultimate"/>
    <x v="181"/>
    <s v="No"/>
    <x v="0"/>
    <x v="2"/>
    <s v="Yes"/>
    <n v="30"/>
    <s v="Yes"/>
    <n v="20"/>
    <n v="20"/>
    <n v="45"/>
  </r>
  <r>
    <n v="3414"/>
    <x v="180"/>
    <s v="Standard"/>
    <x v="182"/>
    <s v="Yes"/>
    <x v="2"/>
    <x v="2"/>
    <s v="No"/>
    <s v="-"/>
    <s v="Yes"/>
    <n v="20"/>
    <n v="12"/>
    <n v="18"/>
  </r>
  <r>
    <n v="3415"/>
    <x v="181"/>
    <s v="Core"/>
    <x v="183"/>
    <s v="No"/>
    <x v="1"/>
    <x v="0"/>
    <s v="No"/>
    <s v="-"/>
    <s v="No"/>
    <n v="0"/>
    <n v="2"/>
    <n v="3"/>
  </r>
  <r>
    <n v="3416"/>
    <x v="182"/>
    <s v="Ultimate"/>
    <x v="184"/>
    <s v="Yes"/>
    <x v="0"/>
    <x v="1"/>
    <s v="Yes"/>
    <n v="30"/>
    <s v="Yes"/>
    <n v="20"/>
    <n v="5"/>
    <n v="60"/>
  </r>
  <r>
    <n v="3417"/>
    <x v="183"/>
    <s v="Standard"/>
    <x v="185"/>
    <s v="No"/>
    <x v="2"/>
    <x v="0"/>
    <s v="No"/>
    <s v="-"/>
    <s v="Yes"/>
    <n v="20"/>
    <n v="10"/>
    <n v="20"/>
  </r>
  <r>
    <n v="3418"/>
    <x v="184"/>
    <s v="Core"/>
    <x v="186"/>
    <s v="Yes"/>
    <x v="1"/>
    <x v="2"/>
    <s v="No"/>
    <s v="-"/>
    <s v="No"/>
    <n v="0"/>
    <n v="0"/>
    <n v="5"/>
  </r>
  <r>
    <n v="3419"/>
    <x v="185"/>
    <s v="Ultimate"/>
    <x v="187"/>
    <s v="No"/>
    <x v="0"/>
    <x v="0"/>
    <s v="Yes"/>
    <n v="30"/>
    <s v="Yes"/>
    <n v="20"/>
    <n v="3"/>
    <n v="62"/>
  </r>
  <r>
    <n v="3420"/>
    <x v="186"/>
    <s v="Standard"/>
    <x v="188"/>
    <s v="Yes"/>
    <x v="2"/>
    <x v="1"/>
    <s v="No"/>
    <s v="-"/>
    <s v="Yes"/>
    <n v="20"/>
    <n v="15"/>
    <n v="15"/>
  </r>
  <r>
    <n v="3421"/>
    <x v="15"/>
    <s v="Core"/>
    <x v="189"/>
    <s v="No"/>
    <x v="1"/>
    <x v="0"/>
    <s v="No"/>
    <s v="-"/>
    <s v="No"/>
    <n v="0"/>
    <n v="1"/>
    <n v="4"/>
  </r>
  <r>
    <n v="3422"/>
    <x v="187"/>
    <s v="Ultimate"/>
    <x v="190"/>
    <s v="Yes"/>
    <x v="0"/>
    <x v="2"/>
    <s v="Yes"/>
    <n v="30"/>
    <s v="Yes"/>
    <n v="20"/>
    <n v="7"/>
    <n v="58"/>
  </r>
  <r>
    <n v="3423"/>
    <x v="188"/>
    <s v="Standard"/>
    <x v="191"/>
    <s v="No"/>
    <x v="2"/>
    <x v="0"/>
    <s v="No"/>
    <s v="-"/>
    <s v="Yes"/>
    <n v="20"/>
    <n v="10"/>
    <n v="20"/>
  </r>
  <r>
    <n v="3424"/>
    <x v="14"/>
    <s v="Core"/>
    <x v="192"/>
    <s v="Yes"/>
    <x v="1"/>
    <x v="1"/>
    <s v="No"/>
    <s v="-"/>
    <s v="No"/>
    <n v="0"/>
    <n v="0"/>
    <n v="5"/>
  </r>
  <r>
    <n v="3425"/>
    <x v="189"/>
    <s v="Ultimate"/>
    <x v="193"/>
    <s v="No"/>
    <x v="0"/>
    <x v="0"/>
    <s v="Yes"/>
    <n v="30"/>
    <s v="Yes"/>
    <n v="20"/>
    <n v="20"/>
    <n v="45"/>
  </r>
  <r>
    <n v="3426"/>
    <x v="167"/>
    <s v="Standard"/>
    <x v="194"/>
    <s v="Yes"/>
    <x v="2"/>
    <x v="2"/>
    <s v="No"/>
    <s v="-"/>
    <s v="Yes"/>
    <n v="20"/>
    <n v="15"/>
    <n v="15"/>
  </r>
  <r>
    <n v="3427"/>
    <x v="190"/>
    <s v="Core"/>
    <x v="195"/>
    <s v="No"/>
    <x v="1"/>
    <x v="0"/>
    <s v="No"/>
    <s v="-"/>
    <s v="No"/>
    <n v="0"/>
    <n v="1"/>
    <n v="4"/>
  </r>
  <r>
    <n v="3428"/>
    <x v="191"/>
    <s v="Ultimate"/>
    <x v="196"/>
    <s v="Yes"/>
    <x v="0"/>
    <x v="1"/>
    <s v="Yes"/>
    <n v="30"/>
    <s v="Yes"/>
    <n v="20"/>
    <n v="3"/>
    <n v="62"/>
  </r>
  <r>
    <n v="3429"/>
    <x v="192"/>
    <s v="Standard"/>
    <x v="197"/>
    <s v="No"/>
    <x v="2"/>
    <x v="0"/>
    <s v="No"/>
    <s v="-"/>
    <s v="Yes"/>
    <n v="20"/>
    <n v="10"/>
    <n v="20"/>
  </r>
  <r>
    <n v="3430"/>
    <x v="193"/>
    <s v="Core"/>
    <x v="198"/>
    <s v="Yes"/>
    <x v="1"/>
    <x v="2"/>
    <s v="No"/>
    <s v="-"/>
    <s v="No"/>
    <n v="0"/>
    <n v="0"/>
    <n v="5"/>
  </r>
  <r>
    <n v="3431"/>
    <x v="194"/>
    <s v="Ultimate"/>
    <x v="199"/>
    <s v="No"/>
    <x v="0"/>
    <x v="0"/>
    <s v="Yes"/>
    <n v="30"/>
    <s v="Yes"/>
    <n v="20"/>
    <n v="15"/>
    <n v="50"/>
  </r>
  <r>
    <n v="3432"/>
    <x v="195"/>
    <s v="Standard"/>
    <x v="200"/>
    <s v="Yes"/>
    <x v="2"/>
    <x v="1"/>
    <s v="No"/>
    <s v="-"/>
    <s v="Yes"/>
    <n v="20"/>
    <n v="15"/>
    <n v="15"/>
  </r>
  <r>
    <n v="3433"/>
    <x v="196"/>
    <s v="Core"/>
    <x v="201"/>
    <s v="No"/>
    <x v="1"/>
    <x v="0"/>
    <s v="No"/>
    <s v="-"/>
    <s v="No"/>
    <n v="0"/>
    <n v="1"/>
    <n v="4"/>
  </r>
  <r>
    <n v="3434"/>
    <x v="197"/>
    <s v="Ultimate"/>
    <x v="202"/>
    <s v="Yes"/>
    <x v="0"/>
    <x v="2"/>
    <s v="Yes"/>
    <n v="30"/>
    <s v="Yes"/>
    <n v="20"/>
    <n v="7"/>
    <n v="58"/>
  </r>
  <r>
    <n v="3435"/>
    <x v="198"/>
    <s v="Standard"/>
    <x v="203"/>
    <s v="No"/>
    <x v="2"/>
    <x v="0"/>
    <s v="No"/>
    <s v="-"/>
    <s v="Yes"/>
    <n v="20"/>
    <n v="10"/>
    <n v="20"/>
  </r>
  <r>
    <n v="3436"/>
    <x v="199"/>
    <s v="Core"/>
    <x v="204"/>
    <s v="Yes"/>
    <x v="1"/>
    <x v="0"/>
    <s v="No"/>
    <s v="-"/>
    <s v="No"/>
    <n v="0"/>
    <n v="0"/>
    <n v="5"/>
  </r>
  <r>
    <n v="3437"/>
    <x v="200"/>
    <s v="Ultimate"/>
    <x v="205"/>
    <s v="No"/>
    <x v="0"/>
    <x v="2"/>
    <s v="Yes"/>
    <n v="30"/>
    <s v="Yes"/>
    <n v="20"/>
    <n v="7"/>
    <n v="58"/>
  </r>
  <r>
    <n v="3438"/>
    <x v="201"/>
    <s v="Standard"/>
    <x v="206"/>
    <s v="Yes"/>
    <x v="2"/>
    <x v="1"/>
    <s v="No"/>
    <s v="-"/>
    <s v="Yes"/>
    <n v="20"/>
    <n v="10"/>
    <n v="20"/>
  </r>
  <r>
    <n v="3439"/>
    <x v="202"/>
    <s v="Core"/>
    <x v="207"/>
    <s v="No"/>
    <x v="1"/>
    <x v="2"/>
    <s v="No"/>
    <s v="-"/>
    <s v="No"/>
    <n v="0"/>
    <n v="1"/>
    <n v="4"/>
  </r>
  <r>
    <n v="3440"/>
    <x v="203"/>
    <s v="Ultimate"/>
    <x v="208"/>
    <s v="Yes"/>
    <x v="0"/>
    <x v="0"/>
    <s v="Yes"/>
    <n v="30"/>
    <s v="Yes"/>
    <n v="20"/>
    <n v="15"/>
    <n v="50"/>
  </r>
  <r>
    <n v="3441"/>
    <x v="204"/>
    <s v="Standard"/>
    <x v="209"/>
    <s v="No"/>
    <x v="2"/>
    <x v="0"/>
    <s v="No"/>
    <s v="-"/>
    <s v="Yes"/>
    <n v="20"/>
    <n v="5"/>
    <n v="25"/>
  </r>
  <r>
    <n v="3442"/>
    <x v="205"/>
    <s v="Core"/>
    <x v="210"/>
    <s v="Yes"/>
    <x v="1"/>
    <x v="1"/>
    <s v="No"/>
    <s v="-"/>
    <s v="No"/>
    <n v="0"/>
    <n v="0"/>
    <n v="5"/>
  </r>
  <r>
    <n v="3443"/>
    <x v="206"/>
    <s v="Ultimate"/>
    <x v="211"/>
    <s v="No"/>
    <x v="0"/>
    <x v="2"/>
    <s v="Yes"/>
    <n v="30"/>
    <s v="Yes"/>
    <n v="20"/>
    <n v="20"/>
    <n v="45"/>
  </r>
  <r>
    <n v="3444"/>
    <x v="207"/>
    <s v="Standard"/>
    <x v="212"/>
    <s v="Yes"/>
    <x v="2"/>
    <x v="2"/>
    <s v="No"/>
    <s v="-"/>
    <s v="Yes"/>
    <n v="20"/>
    <n v="12"/>
    <n v="18"/>
  </r>
  <r>
    <n v="3445"/>
    <x v="37"/>
    <s v="Core"/>
    <x v="213"/>
    <s v="No"/>
    <x v="1"/>
    <x v="0"/>
    <s v="No"/>
    <s v="-"/>
    <s v="No"/>
    <n v="0"/>
    <n v="2"/>
    <n v="3"/>
  </r>
  <r>
    <n v="3446"/>
    <x v="208"/>
    <s v="Ultimate"/>
    <x v="214"/>
    <s v="Yes"/>
    <x v="0"/>
    <x v="1"/>
    <s v="Yes"/>
    <n v="30"/>
    <s v="Yes"/>
    <n v="20"/>
    <n v="5"/>
    <n v="60"/>
  </r>
  <r>
    <n v="3447"/>
    <x v="209"/>
    <s v="Standard"/>
    <x v="215"/>
    <s v="No"/>
    <x v="2"/>
    <x v="0"/>
    <s v="No"/>
    <s v="-"/>
    <s v="Yes"/>
    <n v="20"/>
    <n v="10"/>
    <n v="20"/>
  </r>
  <r>
    <n v="3448"/>
    <x v="210"/>
    <s v="Core"/>
    <x v="216"/>
    <s v="Yes"/>
    <x v="1"/>
    <x v="2"/>
    <s v="No"/>
    <s v="-"/>
    <s v="No"/>
    <n v="0"/>
    <n v="0"/>
    <n v="5"/>
  </r>
  <r>
    <n v="3449"/>
    <x v="211"/>
    <s v="Ultimate"/>
    <x v="217"/>
    <s v="No"/>
    <x v="0"/>
    <x v="0"/>
    <s v="Yes"/>
    <n v="30"/>
    <s v="Yes"/>
    <n v="20"/>
    <n v="3"/>
    <n v="62"/>
  </r>
  <r>
    <n v="3450"/>
    <x v="212"/>
    <s v="Standard"/>
    <x v="218"/>
    <s v="Yes"/>
    <x v="2"/>
    <x v="1"/>
    <s v="No"/>
    <s v="-"/>
    <s v="Yes"/>
    <n v="20"/>
    <n v="15"/>
    <n v="15"/>
  </r>
  <r>
    <n v="3451"/>
    <x v="213"/>
    <s v="Core"/>
    <x v="219"/>
    <s v="No"/>
    <x v="1"/>
    <x v="0"/>
    <s v="No"/>
    <s v="-"/>
    <s v="No"/>
    <n v="0"/>
    <n v="1"/>
    <n v="4"/>
  </r>
  <r>
    <n v="3452"/>
    <x v="191"/>
    <s v="Ultimate"/>
    <x v="220"/>
    <s v="Yes"/>
    <x v="0"/>
    <x v="2"/>
    <s v="Yes"/>
    <n v="30"/>
    <s v="Yes"/>
    <n v="20"/>
    <n v="7"/>
    <n v="58"/>
  </r>
  <r>
    <n v="3453"/>
    <x v="45"/>
    <s v="Standard"/>
    <x v="221"/>
    <s v="No"/>
    <x v="2"/>
    <x v="0"/>
    <s v="No"/>
    <s v="-"/>
    <s v="Yes"/>
    <n v="20"/>
    <n v="10"/>
    <n v="20"/>
  </r>
  <r>
    <n v="3454"/>
    <x v="214"/>
    <s v="Core"/>
    <x v="222"/>
    <s v="Yes"/>
    <x v="1"/>
    <x v="1"/>
    <s v="No"/>
    <s v="-"/>
    <s v="No"/>
    <n v="0"/>
    <n v="0"/>
    <n v="5"/>
  </r>
  <r>
    <n v="3455"/>
    <x v="215"/>
    <s v="Ultimate"/>
    <x v="223"/>
    <s v="No"/>
    <x v="0"/>
    <x v="0"/>
    <s v="Yes"/>
    <n v="30"/>
    <s v="Yes"/>
    <n v="20"/>
    <n v="20"/>
    <n v="45"/>
  </r>
  <r>
    <n v="3456"/>
    <x v="216"/>
    <s v="Standard"/>
    <x v="224"/>
    <s v="Yes"/>
    <x v="2"/>
    <x v="2"/>
    <s v="No"/>
    <s v="-"/>
    <s v="Yes"/>
    <n v="20"/>
    <n v="15"/>
    <n v="15"/>
  </r>
  <r>
    <n v="3457"/>
    <x v="217"/>
    <s v="Core"/>
    <x v="225"/>
    <s v="No"/>
    <x v="1"/>
    <x v="0"/>
    <s v="No"/>
    <s v="-"/>
    <s v="No"/>
    <n v="0"/>
    <n v="1"/>
    <n v="4"/>
  </r>
  <r>
    <n v="3458"/>
    <x v="218"/>
    <s v="Ultimate"/>
    <x v="226"/>
    <s v="Yes"/>
    <x v="0"/>
    <x v="1"/>
    <s v="Yes"/>
    <n v="30"/>
    <s v="Yes"/>
    <n v="20"/>
    <n v="3"/>
    <n v="62"/>
  </r>
  <r>
    <n v="3459"/>
    <x v="219"/>
    <s v="Standard"/>
    <x v="227"/>
    <s v="No"/>
    <x v="2"/>
    <x v="0"/>
    <s v="No"/>
    <s v="-"/>
    <s v="Yes"/>
    <n v="20"/>
    <n v="10"/>
    <n v="20"/>
  </r>
  <r>
    <n v="3460"/>
    <x v="127"/>
    <s v="Core"/>
    <x v="228"/>
    <s v="Yes"/>
    <x v="1"/>
    <x v="2"/>
    <s v="No"/>
    <s v="-"/>
    <s v="No"/>
    <n v="0"/>
    <n v="0"/>
    <n v="5"/>
  </r>
  <r>
    <n v="3461"/>
    <x v="220"/>
    <s v="Ultimate"/>
    <x v="229"/>
    <s v="No"/>
    <x v="0"/>
    <x v="0"/>
    <s v="Yes"/>
    <n v="30"/>
    <s v="Yes"/>
    <n v="20"/>
    <n v="15"/>
    <n v="50"/>
  </r>
  <r>
    <n v="3462"/>
    <x v="221"/>
    <s v="Standard"/>
    <x v="230"/>
    <s v="Yes"/>
    <x v="2"/>
    <x v="1"/>
    <s v="No"/>
    <s v="-"/>
    <s v="Yes"/>
    <n v="20"/>
    <n v="15"/>
    <n v="15"/>
  </r>
  <r>
    <n v="3463"/>
    <x v="222"/>
    <s v="Core"/>
    <x v="231"/>
    <s v="No"/>
    <x v="1"/>
    <x v="0"/>
    <s v="No"/>
    <s v="-"/>
    <s v="No"/>
    <n v="0"/>
    <n v="1"/>
    <n v="4"/>
  </r>
  <r>
    <n v="3464"/>
    <x v="223"/>
    <s v="Ultimate"/>
    <x v="232"/>
    <s v="Yes"/>
    <x v="0"/>
    <x v="2"/>
    <s v="Yes"/>
    <n v="30"/>
    <s v="Yes"/>
    <n v="20"/>
    <n v="7"/>
    <n v="58"/>
  </r>
  <r>
    <n v="3465"/>
    <x v="224"/>
    <s v="Standard"/>
    <x v="233"/>
    <s v="No"/>
    <x v="2"/>
    <x v="0"/>
    <s v="No"/>
    <s v="-"/>
    <s v="Yes"/>
    <n v="20"/>
    <n v="10"/>
    <n v="20"/>
  </r>
  <r>
    <n v="3466"/>
    <x v="225"/>
    <s v="Core"/>
    <x v="234"/>
    <s v="Yes"/>
    <x v="1"/>
    <x v="1"/>
    <s v="No"/>
    <s v="-"/>
    <s v="No"/>
    <n v="0"/>
    <n v="0"/>
    <n v="5"/>
  </r>
  <r>
    <n v="3467"/>
    <x v="226"/>
    <s v="Ultimate"/>
    <x v="235"/>
    <s v="No"/>
    <x v="0"/>
    <x v="0"/>
    <s v="Yes"/>
    <n v="30"/>
    <s v="Yes"/>
    <n v="20"/>
    <n v="15"/>
    <n v="50"/>
  </r>
  <r>
    <n v="3468"/>
    <x v="227"/>
    <s v="Standard"/>
    <x v="236"/>
    <s v="Yes"/>
    <x v="2"/>
    <x v="2"/>
    <s v="No"/>
    <s v="-"/>
    <s v="Yes"/>
    <n v="20"/>
    <n v="12"/>
    <n v="18"/>
  </r>
  <r>
    <n v="3469"/>
    <x v="228"/>
    <s v="Core"/>
    <x v="237"/>
    <s v="No"/>
    <x v="1"/>
    <x v="0"/>
    <s v="No"/>
    <s v="-"/>
    <s v="No"/>
    <n v="0"/>
    <n v="2"/>
    <n v="3"/>
  </r>
  <r>
    <n v="3470"/>
    <x v="229"/>
    <s v="Ultimate"/>
    <x v="238"/>
    <s v="Yes"/>
    <x v="0"/>
    <x v="1"/>
    <s v="Yes"/>
    <n v="30"/>
    <s v="Yes"/>
    <n v="20"/>
    <n v="5"/>
    <n v="60"/>
  </r>
  <r>
    <n v="3471"/>
    <x v="230"/>
    <s v="Standard"/>
    <x v="239"/>
    <s v="No"/>
    <x v="2"/>
    <x v="0"/>
    <s v="No"/>
    <s v="-"/>
    <s v="Yes"/>
    <n v="20"/>
    <n v="10"/>
    <n v="20"/>
  </r>
  <r>
    <n v="3472"/>
    <x v="231"/>
    <s v="Core"/>
    <x v="240"/>
    <s v="Yes"/>
    <x v="1"/>
    <x v="2"/>
    <s v="No"/>
    <s v="-"/>
    <s v="No"/>
    <n v="0"/>
    <n v="0"/>
    <n v="5"/>
  </r>
  <r>
    <n v="3473"/>
    <x v="140"/>
    <s v="Ultimate"/>
    <x v="241"/>
    <s v="No"/>
    <x v="0"/>
    <x v="0"/>
    <s v="Yes"/>
    <n v="30"/>
    <s v="Yes"/>
    <n v="20"/>
    <n v="3"/>
    <n v="62"/>
  </r>
  <r>
    <n v="3474"/>
    <x v="232"/>
    <s v="Standard"/>
    <x v="242"/>
    <s v="Yes"/>
    <x v="2"/>
    <x v="1"/>
    <s v="No"/>
    <s v="-"/>
    <s v="Yes"/>
    <n v="20"/>
    <n v="15"/>
    <n v="15"/>
  </r>
  <r>
    <n v="3475"/>
    <x v="233"/>
    <s v="Core"/>
    <x v="243"/>
    <s v="No"/>
    <x v="1"/>
    <x v="0"/>
    <s v="No"/>
    <s v="-"/>
    <s v="No"/>
    <n v="0"/>
    <n v="1"/>
    <n v="4"/>
  </r>
  <r>
    <n v="3476"/>
    <x v="234"/>
    <s v="Ultimate"/>
    <x v="244"/>
    <s v="Yes"/>
    <x v="0"/>
    <x v="2"/>
    <s v="Yes"/>
    <n v="30"/>
    <s v="Yes"/>
    <n v="20"/>
    <n v="7"/>
    <n v="58"/>
  </r>
  <r>
    <n v="3477"/>
    <x v="235"/>
    <s v="Standard"/>
    <x v="245"/>
    <s v="No"/>
    <x v="2"/>
    <x v="0"/>
    <s v="No"/>
    <s v="-"/>
    <s v="Yes"/>
    <n v="20"/>
    <n v="10"/>
    <n v="20"/>
  </r>
  <r>
    <n v="3478"/>
    <x v="236"/>
    <s v="Core"/>
    <x v="246"/>
    <s v="Yes"/>
    <x v="1"/>
    <x v="1"/>
    <s v="No"/>
    <s v="-"/>
    <s v="No"/>
    <n v="0"/>
    <n v="0"/>
    <n v="5"/>
  </r>
  <r>
    <n v="3479"/>
    <x v="237"/>
    <s v="Ultimate"/>
    <x v="247"/>
    <s v="No"/>
    <x v="0"/>
    <x v="0"/>
    <s v="Yes"/>
    <n v="30"/>
    <s v="Yes"/>
    <n v="20"/>
    <n v="20"/>
    <n v="45"/>
  </r>
  <r>
    <n v="3480"/>
    <x v="238"/>
    <s v="Standard"/>
    <x v="248"/>
    <s v="Yes"/>
    <x v="2"/>
    <x v="2"/>
    <s v="No"/>
    <s v="-"/>
    <s v="Yes"/>
    <n v="20"/>
    <n v="15"/>
    <n v="15"/>
  </r>
  <r>
    <n v="3481"/>
    <x v="239"/>
    <s v="Core"/>
    <x v="249"/>
    <s v="No"/>
    <x v="1"/>
    <x v="0"/>
    <s v="No"/>
    <s v="-"/>
    <s v="No"/>
    <n v="0"/>
    <n v="1"/>
    <n v="4"/>
  </r>
  <r>
    <n v="3482"/>
    <x v="240"/>
    <s v="Ultimate"/>
    <x v="250"/>
    <s v="Yes"/>
    <x v="0"/>
    <x v="1"/>
    <s v="Yes"/>
    <n v="30"/>
    <s v="Yes"/>
    <n v="20"/>
    <n v="3"/>
    <n v="62"/>
  </r>
  <r>
    <n v="3483"/>
    <x v="241"/>
    <s v="Standard"/>
    <x v="251"/>
    <s v="No"/>
    <x v="2"/>
    <x v="0"/>
    <s v="No"/>
    <s v="-"/>
    <s v="Yes"/>
    <n v="20"/>
    <n v="10"/>
    <n v="20"/>
  </r>
  <r>
    <n v="3484"/>
    <x v="242"/>
    <s v="Core"/>
    <x v="252"/>
    <s v="Yes"/>
    <x v="1"/>
    <x v="2"/>
    <s v="No"/>
    <s v="-"/>
    <s v="No"/>
    <n v="0"/>
    <n v="0"/>
    <n v="5"/>
  </r>
  <r>
    <n v="3485"/>
    <x v="243"/>
    <s v="Ultimate"/>
    <x v="253"/>
    <s v="No"/>
    <x v="0"/>
    <x v="0"/>
    <s v="Yes"/>
    <n v="30"/>
    <s v="Yes"/>
    <n v="20"/>
    <n v="15"/>
    <n v="50"/>
  </r>
  <r>
    <n v="3486"/>
    <x v="244"/>
    <s v="Core"/>
    <x v="254"/>
    <s v="Yes"/>
    <x v="1"/>
    <x v="0"/>
    <s v="No"/>
    <s v="-"/>
    <s v="No"/>
    <n v="0"/>
    <n v="0"/>
    <n v="5"/>
  </r>
  <r>
    <n v="3487"/>
    <x v="245"/>
    <s v="Ultimate"/>
    <x v="255"/>
    <s v="No"/>
    <x v="0"/>
    <x v="2"/>
    <s v="Yes"/>
    <n v="30"/>
    <s v="Yes"/>
    <n v="20"/>
    <n v="7"/>
    <n v="58"/>
  </r>
  <r>
    <n v="3488"/>
    <x v="246"/>
    <s v="Standard"/>
    <x v="256"/>
    <s v="Yes"/>
    <x v="2"/>
    <x v="1"/>
    <s v="No"/>
    <s v="-"/>
    <s v="Yes"/>
    <n v="20"/>
    <n v="10"/>
    <n v="20"/>
  </r>
  <r>
    <n v="3489"/>
    <x v="247"/>
    <s v="Core"/>
    <x v="257"/>
    <s v="No"/>
    <x v="1"/>
    <x v="2"/>
    <s v="No"/>
    <s v="-"/>
    <s v="No"/>
    <n v="0"/>
    <n v="1"/>
    <n v="4"/>
  </r>
  <r>
    <n v="3490"/>
    <x v="248"/>
    <s v="Ultimate"/>
    <x v="258"/>
    <s v="Yes"/>
    <x v="0"/>
    <x v="0"/>
    <s v="Yes"/>
    <n v="30"/>
    <s v="Yes"/>
    <n v="20"/>
    <n v="15"/>
    <n v="50"/>
  </r>
  <r>
    <n v="3491"/>
    <x v="249"/>
    <s v="Standard"/>
    <x v="259"/>
    <s v="No"/>
    <x v="2"/>
    <x v="0"/>
    <s v="No"/>
    <s v="-"/>
    <s v="Yes"/>
    <n v="20"/>
    <n v="5"/>
    <n v="25"/>
  </r>
  <r>
    <n v="3492"/>
    <x v="250"/>
    <s v="Core"/>
    <x v="260"/>
    <s v="Yes"/>
    <x v="1"/>
    <x v="1"/>
    <s v="No"/>
    <s v="-"/>
    <s v="No"/>
    <n v="0"/>
    <n v="0"/>
    <n v="5"/>
  </r>
  <r>
    <n v="3493"/>
    <x v="251"/>
    <s v="Ultimate"/>
    <x v="261"/>
    <s v="No"/>
    <x v="0"/>
    <x v="2"/>
    <s v="Yes"/>
    <n v="30"/>
    <s v="Yes"/>
    <n v="20"/>
    <n v="20"/>
    <n v="45"/>
  </r>
  <r>
    <n v="3494"/>
    <x v="252"/>
    <s v="Standard"/>
    <x v="262"/>
    <s v="Yes"/>
    <x v="2"/>
    <x v="2"/>
    <s v="No"/>
    <s v="-"/>
    <s v="Yes"/>
    <n v="20"/>
    <n v="12"/>
    <n v="18"/>
  </r>
  <r>
    <n v="3495"/>
    <x v="253"/>
    <s v="Core"/>
    <x v="263"/>
    <s v="No"/>
    <x v="1"/>
    <x v="0"/>
    <s v="No"/>
    <s v="-"/>
    <s v="No"/>
    <n v="0"/>
    <n v="2"/>
    <n v="3"/>
  </r>
  <r>
    <n v="3496"/>
    <x v="254"/>
    <s v="Ultimate"/>
    <x v="264"/>
    <s v="Yes"/>
    <x v="0"/>
    <x v="1"/>
    <s v="Yes"/>
    <n v="30"/>
    <s v="Yes"/>
    <n v="20"/>
    <n v="5"/>
    <n v="60"/>
  </r>
  <r>
    <n v="3497"/>
    <x v="255"/>
    <s v="Standard"/>
    <x v="265"/>
    <s v="No"/>
    <x v="2"/>
    <x v="0"/>
    <s v="No"/>
    <s v="-"/>
    <s v="Yes"/>
    <n v="20"/>
    <n v="10"/>
    <n v="20"/>
  </r>
  <r>
    <n v="3498"/>
    <x v="256"/>
    <s v="Core"/>
    <x v="266"/>
    <s v="Yes"/>
    <x v="1"/>
    <x v="2"/>
    <s v="No"/>
    <s v="-"/>
    <s v="No"/>
    <n v="0"/>
    <n v="0"/>
    <n v="5"/>
  </r>
  <r>
    <n v="3499"/>
    <x v="257"/>
    <s v="Ultimate"/>
    <x v="267"/>
    <s v="No"/>
    <x v="0"/>
    <x v="0"/>
    <s v="Yes"/>
    <n v="30"/>
    <s v="Yes"/>
    <n v="20"/>
    <n v="3"/>
    <n v="62"/>
  </r>
  <r>
    <n v="3500"/>
    <x v="258"/>
    <s v="Standard"/>
    <x v="268"/>
    <s v="Yes"/>
    <x v="2"/>
    <x v="1"/>
    <s v="No"/>
    <s v="-"/>
    <s v="Yes"/>
    <n v="20"/>
    <n v="15"/>
    <n v="15"/>
  </r>
  <r>
    <n v="3501"/>
    <x v="259"/>
    <s v="Core"/>
    <x v="269"/>
    <s v="No"/>
    <x v="1"/>
    <x v="0"/>
    <s v="No"/>
    <s v="-"/>
    <s v="No"/>
    <n v="0"/>
    <n v="1"/>
    <n v="4"/>
  </r>
  <r>
    <n v="3502"/>
    <x v="260"/>
    <s v="Ultimate"/>
    <x v="270"/>
    <s v="Yes"/>
    <x v="0"/>
    <x v="2"/>
    <s v="Yes"/>
    <n v="30"/>
    <s v="Yes"/>
    <n v="20"/>
    <n v="7"/>
    <n v="58"/>
  </r>
  <r>
    <n v="3503"/>
    <x v="119"/>
    <s v="Standard"/>
    <x v="271"/>
    <s v="No"/>
    <x v="2"/>
    <x v="0"/>
    <s v="No"/>
    <s v="-"/>
    <s v="Yes"/>
    <n v="20"/>
    <n v="10"/>
    <n v="20"/>
  </r>
  <r>
    <n v="3504"/>
    <x v="261"/>
    <s v="Core"/>
    <x v="272"/>
    <s v="Yes"/>
    <x v="1"/>
    <x v="1"/>
    <s v="No"/>
    <s v="-"/>
    <s v="No"/>
    <n v="0"/>
    <n v="0"/>
    <n v="5"/>
  </r>
  <r>
    <n v="3505"/>
    <x v="262"/>
    <s v="Ultimate"/>
    <x v="273"/>
    <s v="No"/>
    <x v="0"/>
    <x v="0"/>
    <s v="Yes"/>
    <n v="30"/>
    <s v="Yes"/>
    <n v="20"/>
    <n v="20"/>
    <n v="45"/>
  </r>
  <r>
    <n v="3506"/>
    <x v="263"/>
    <s v="Standard"/>
    <x v="274"/>
    <s v="Yes"/>
    <x v="2"/>
    <x v="2"/>
    <s v="No"/>
    <s v="-"/>
    <s v="Yes"/>
    <n v="20"/>
    <n v="15"/>
    <n v="15"/>
  </r>
  <r>
    <n v="3507"/>
    <x v="264"/>
    <s v="Core"/>
    <x v="275"/>
    <s v="No"/>
    <x v="1"/>
    <x v="0"/>
    <s v="No"/>
    <s v="-"/>
    <s v="No"/>
    <n v="0"/>
    <n v="1"/>
    <n v="4"/>
  </r>
  <r>
    <n v="3508"/>
    <x v="265"/>
    <s v="Ultimate"/>
    <x v="276"/>
    <s v="Yes"/>
    <x v="0"/>
    <x v="1"/>
    <s v="Yes"/>
    <n v="30"/>
    <s v="Yes"/>
    <n v="20"/>
    <n v="3"/>
    <n v="62"/>
  </r>
  <r>
    <n v="3509"/>
    <x v="266"/>
    <s v="Standard"/>
    <x v="277"/>
    <s v="No"/>
    <x v="2"/>
    <x v="0"/>
    <s v="No"/>
    <s v="-"/>
    <s v="Yes"/>
    <n v="20"/>
    <n v="10"/>
    <n v="20"/>
  </r>
  <r>
    <n v="3510"/>
    <x v="267"/>
    <s v="Core"/>
    <x v="278"/>
    <s v="Yes"/>
    <x v="1"/>
    <x v="2"/>
    <s v="No"/>
    <s v="-"/>
    <s v="No"/>
    <n v="0"/>
    <n v="0"/>
    <n v="5"/>
  </r>
  <r>
    <n v="3511"/>
    <x v="268"/>
    <s v="Ultimate"/>
    <x v="279"/>
    <s v="No"/>
    <x v="0"/>
    <x v="0"/>
    <s v="Yes"/>
    <n v="30"/>
    <s v="Yes"/>
    <n v="20"/>
    <n v="15"/>
    <n v="50"/>
  </r>
  <r>
    <n v="3512"/>
    <x v="269"/>
    <s v="Standard"/>
    <x v="280"/>
    <s v="Yes"/>
    <x v="2"/>
    <x v="1"/>
    <s v="No"/>
    <s v="-"/>
    <s v="Yes"/>
    <n v="20"/>
    <n v="15"/>
    <n v="15"/>
  </r>
  <r>
    <n v="3513"/>
    <x v="270"/>
    <s v="Core"/>
    <x v="281"/>
    <s v="No"/>
    <x v="1"/>
    <x v="0"/>
    <s v="No"/>
    <s v="-"/>
    <s v="No"/>
    <n v="0"/>
    <n v="1"/>
    <n v="4"/>
  </r>
  <r>
    <n v="3514"/>
    <x v="271"/>
    <s v="Ultimate"/>
    <x v="282"/>
    <s v="Yes"/>
    <x v="0"/>
    <x v="2"/>
    <s v="Yes"/>
    <n v="30"/>
    <s v="Yes"/>
    <n v="20"/>
    <n v="7"/>
    <n v="58"/>
  </r>
  <r>
    <n v="3515"/>
    <x v="130"/>
    <s v="Standard"/>
    <x v="283"/>
    <s v="No"/>
    <x v="2"/>
    <x v="0"/>
    <s v="No"/>
    <s v="-"/>
    <s v="Yes"/>
    <n v="20"/>
    <n v="10"/>
    <n v="20"/>
  </r>
  <r>
    <n v="3516"/>
    <x v="131"/>
    <s v="Core"/>
    <x v="284"/>
    <s v="Yes"/>
    <x v="1"/>
    <x v="1"/>
    <s v="No"/>
    <s v="-"/>
    <s v="No"/>
    <n v="0"/>
    <n v="0"/>
    <n v="5"/>
  </r>
  <r>
    <n v="3517"/>
    <x v="181"/>
    <s v="Ultimate"/>
    <x v="285"/>
    <s v="No"/>
    <x v="0"/>
    <x v="0"/>
    <s v="Yes"/>
    <n v="30"/>
    <s v="Yes"/>
    <n v="20"/>
    <n v="20"/>
    <n v="45"/>
  </r>
  <r>
    <n v="3518"/>
    <x v="272"/>
    <s v="Standard"/>
    <x v="286"/>
    <s v="Yes"/>
    <x v="2"/>
    <x v="2"/>
    <s v="No"/>
    <s v="-"/>
    <s v="Yes"/>
    <n v="20"/>
    <n v="12"/>
    <n v="18"/>
  </r>
  <r>
    <n v="3519"/>
    <x v="273"/>
    <s v="Core"/>
    <x v="287"/>
    <s v="No"/>
    <x v="1"/>
    <x v="0"/>
    <s v="No"/>
    <s v="-"/>
    <s v="No"/>
    <n v="0"/>
    <n v="2"/>
    <n v="3"/>
  </r>
  <r>
    <n v="3520"/>
    <x v="274"/>
    <s v="Ultimate"/>
    <x v="288"/>
    <s v="Yes"/>
    <x v="0"/>
    <x v="1"/>
    <s v="Yes"/>
    <n v="30"/>
    <s v="Yes"/>
    <n v="20"/>
    <n v="5"/>
    <n v="60"/>
  </r>
  <r>
    <n v="3521"/>
    <x v="275"/>
    <s v="Standard"/>
    <x v="289"/>
    <s v="No"/>
    <x v="2"/>
    <x v="0"/>
    <s v="No"/>
    <s v="-"/>
    <s v="Yes"/>
    <n v="20"/>
    <n v="10"/>
    <n v="20"/>
  </r>
  <r>
    <n v="3522"/>
    <x v="276"/>
    <s v="Core"/>
    <x v="290"/>
    <s v="Yes"/>
    <x v="1"/>
    <x v="2"/>
    <s v="No"/>
    <s v="-"/>
    <s v="No"/>
    <n v="0"/>
    <n v="0"/>
    <n v="5"/>
  </r>
  <r>
    <n v="3523"/>
    <x v="277"/>
    <s v="Ultimate"/>
    <x v="291"/>
    <s v="No"/>
    <x v="0"/>
    <x v="0"/>
    <s v="Yes"/>
    <n v="30"/>
    <s v="Yes"/>
    <n v="20"/>
    <n v="3"/>
    <n v="62"/>
  </r>
  <r>
    <n v="3524"/>
    <x v="278"/>
    <s v="Standard"/>
    <x v="292"/>
    <s v="Yes"/>
    <x v="2"/>
    <x v="1"/>
    <s v="No"/>
    <s v="-"/>
    <s v="Yes"/>
    <n v="20"/>
    <n v="15"/>
    <n v="15"/>
  </r>
  <r>
    <n v="3525"/>
    <x v="279"/>
    <s v="Core"/>
    <x v="293"/>
    <s v="No"/>
    <x v="1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AD9AB-B492-4CBD-B9D2-546938C3F6E9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7:D9" firstHeaderRow="0" firstDataRow="1" firstDataCol="1"/>
  <pivotFields count="15">
    <pivotField showAll="0"/>
    <pivotField name="Tabela_treino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dataField="1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>
      <items count="4">
        <item x="1"/>
        <item x="2"/>
        <item x="0"/>
        <item t="default"/>
      </items>
    </pivotField>
    <pivotField axis="axisRow" showAll="0" sortType="ascending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 Value" fld="12" baseField="0" baseItem="0" numFmtId="44"/>
    <dataField name="Contagem de Start Date" fld="3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C287CFB-C3E5-4A33-8E82-65928105D0C4}" sourceName="Subscription Type">
  <pivotTables>
    <pivotTable tabId="3" name="Tabela dinâmica3"/>
  </pivotTables>
  <data>
    <tabular pivotCacheId="259832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B5332B5-880D-4C8C-8B77-7F40266E90D5}" cache="SegmentaçãodeDados_Subscription_Type" caption="Subscription Type" style="SlicerStyleLight3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626014F5-D5B5-4C24-B113-B08B27B62D08}" cache="SegmentaçãodeDados_Subscription_Type" caption="Subscription Type" style="SlicerStyleDark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7" zoomScaleNormal="100" workbookViewId="0">
      <selection activeCell="E5" sqref="E5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56" sqref="E5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9"/>
  <sheetViews>
    <sheetView showGridLines="0" workbookViewId="0">
      <selection activeCell="F9" sqref="F9"/>
    </sheetView>
  </sheetViews>
  <sheetFormatPr defaultRowHeight="14.4" x14ac:dyDescent="0.3"/>
  <cols>
    <col min="2" max="2" width="16.77734375" bestFit="1" customWidth="1"/>
    <col min="3" max="3" width="17.88671875" bestFit="1" customWidth="1"/>
    <col min="4" max="4" width="20.777343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t="s">
        <v>316</v>
      </c>
    </row>
    <row r="7" spans="2:6" x14ac:dyDescent="0.3">
      <c r="B7" s="12" t="s">
        <v>313</v>
      </c>
      <c r="C7" t="s">
        <v>315</v>
      </c>
      <c r="D7" t="s">
        <v>317</v>
      </c>
    </row>
    <row r="8" spans="2:6" x14ac:dyDescent="0.3">
      <c r="B8" s="13" t="s">
        <v>24</v>
      </c>
      <c r="C8" s="14">
        <v>1754</v>
      </c>
      <c r="D8" s="18">
        <v>71</v>
      </c>
    </row>
    <row r="9" spans="2:6" x14ac:dyDescent="0.3">
      <c r="B9" s="13" t="s">
        <v>314</v>
      </c>
      <c r="C9" s="14">
        <v>1754</v>
      </c>
      <c r="D9" s="18">
        <v>71</v>
      </c>
      <c r="F9" s="16">
        <f>GETPIVOTDATA("Soma de Total Value",$B$7)</f>
        <v>1754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K202"/>
  <sheetViews>
    <sheetView tabSelected="1" zoomScale="80" zoomScaleNormal="80" workbookViewId="0">
      <selection activeCell="F7" sqref="F7"/>
    </sheetView>
  </sheetViews>
  <sheetFormatPr defaultRowHeight="14.4" x14ac:dyDescent="0.3"/>
  <cols>
    <col min="1" max="1" width="28.21875" customWidth="1"/>
    <col min="2" max="2" width="3.5546875" customWidth="1"/>
    <col min="3" max="3" width="62.44140625" customWidth="1"/>
    <col min="12" max="12" width="6.5546875" customWidth="1"/>
  </cols>
  <sheetData>
    <row r="1" spans="1:37" x14ac:dyDescent="0.3">
      <c r="A1" s="4"/>
    </row>
    <row r="2" spans="1:37" ht="37.799999999999997" customHeight="1" thickBot="1" x14ac:dyDescent="0.45">
      <c r="A2" s="4"/>
      <c r="C2" s="17" t="s">
        <v>318</v>
      </c>
    </row>
    <row r="3" spans="1:37" ht="30.6" customHeight="1" thickTop="1" x14ac:dyDescent="0.3">
      <c r="A3" s="4"/>
      <c r="C3" s="19" t="s">
        <v>319</v>
      </c>
    </row>
    <row r="4" spans="1:37" ht="8.25" customHeight="1" x14ac:dyDescent="0.3">
      <c r="A4" s="4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 ht="7.5" customHeight="1" x14ac:dyDescent="0.3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7" ht="10.5" customHeight="1" x14ac:dyDescent="0.3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spans="1:37" ht="9.75" customHeight="1" x14ac:dyDescent="0.3">
      <c r="A7" s="4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spans="1:37" ht="33" customHeight="1" x14ac:dyDescent="0.3">
      <c r="A8" s="4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spans="1:37" x14ac:dyDescent="0.3">
      <c r="A9" s="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 x14ac:dyDescent="0.3">
      <c r="A10" s="4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 x14ac:dyDescent="0.3">
      <c r="A11" s="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 x14ac:dyDescent="0.3">
      <c r="A12" s="4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spans="1:37" x14ac:dyDescent="0.3">
      <c r="A13" s="4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spans="1:37" x14ac:dyDescent="0.3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spans="1:37" x14ac:dyDescent="0.3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spans="1:37" x14ac:dyDescent="0.3">
      <c r="A16" s="4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spans="1:37" x14ac:dyDescent="0.3">
      <c r="A17" s="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1:37" x14ac:dyDescent="0.3">
      <c r="A18" s="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1:37" x14ac:dyDescent="0.3">
      <c r="A19" s="4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spans="1:37" x14ac:dyDescent="0.3">
      <c r="A20" s="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spans="1:37" x14ac:dyDescent="0.3">
      <c r="A21" s="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spans="1:37" x14ac:dyDescent="0.3">
      <c r="A22" s="4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1:37" x14ac:dyDescent="0.3">
      <c r="A23" s="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1:37" x14ac:dyDescent="0.3">
      <c r="A24" s="4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spans="1:37" x14ac:dyDescent="0.3">
      <c r="A25" s="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1:37" x14ac:dyDescent="0.3">
      <c r="A26" s="4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1:37" x14ac:dyDescent="0.3">
      <c r="A27" s="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spans="1:37" x14ac:dyDescent="0.3">
      <c r="A28" s="4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1:37" x14ac:dyDescent="0.3">
      <c r="A29" s="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spans="1:37" x14ac:dyDescent="0.3">
      <c r="A30" s="4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spans="1:37" x14ac:dyDescent="0.3">
      <c r="A31" s="4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1:37" x14ac:dyDescent="0.3">
      <c r="A32" s="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spans="1:37" x14ac:dyDescent="0.3">
      <c r="A33" s="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1:37" x14ac:dyDescent="0.3">
      <c r="A34" s="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1:37" x14ac:dyDescent="0.3">
      <c r="A35" s="4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spans="1:37" x14ac:dyDescent="0.3">
      <c r="A36" s="4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spans="1:37" x14ac:dyDescent="0.3">
      <c r="A37" s="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spans="1:37" x14ac:dyDescent="0.3">
      <c r="A38" s="4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spans="1:37" x14ac:dyDescent="0.3">
      <c r="A39" s="4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spans="1:37" x14ac:dyDescent="0.3">
      <c r="A40" s="4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spans="1:37" x14ac:dyDescent="0.3">
      <c r="A41" s="4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spans="1:37" x14ac:dyDescent="0.3">
      <c r="A42" s="4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spans="1:37" x14ac:dyDescent="0.3">
      <c r="A43" s="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spans="1:37" x14ac:dyDescent="0.3">
      <c r="A44" s="4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spans="1:37" x14ac:dyDescent="0.3">
      <c r="A45" s="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spans="1:37" x14ac:dyDescent="0.3">
      <c r="A46" s="4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spans="1:37" x14ac:dyDescent="0.3">
      <c r="A47" s="4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spans="1:37" x14ac:dyDescent="0.3">
      <c r="A48" s="4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spans="1:37" x14ac:dyDescent="0.3">
      <c r="A49" s="4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spans="1:37" x14ac:dyDescent="0.3">
      <c r="A50" s="4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spans="1:37" x14ac:dyDescent="0.3">
      <c r="A51" s="4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spans="1:37" x14ac:dyDescent="0.3">
      <c r="A52" s="4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1:37" x14ac:dyDescent="0.3">
      <c r="A53" s="4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spans="1:37" x14ac:dyDescent="0.3">
      <c r="A54" s="4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spans="1:37" x14ac:dyDescent="0.3">
      <c r="A55" s="4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1:37" x14ac:dyDescent="0.3">
      <c r="A56" s="4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spans="1:37" x14ac:dyDescent="0.3">
      <c r="A57" s="4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spans="1:37" x14ac:dyDescent="0.3">
      <c r="A58" s="4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spans="1:37" x14ac:dyDescent="0.3">
      <c r="A59" s="4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 x14ac:dyDescent="0.3">
      <c r="A60" s="4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spans="1:37" x14ac:dyDescent="0.3">
      <c r="A61" s="4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spans="1:37" x14ac:dyDescent="0.3">
      <c r="A62" s="4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spans="1:37" x14ac:dyDescent="0.3">
      <c r="A63" s="4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spans="1:37" x14ac:dyDescent="0.3">
      <c r="A64" s="4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spans="1:37" x14ac:dyDescent="0.3">
      <c r="A65" s="4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spans="1:37" x14ac:dyDescent="0.3">
      <c r="A66" s="4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spans="1:37" x14ac:dyDescent="0.3">
      <c r="A67" s="4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spans="1:37" x14ac:dyDescent="0.3">
      <c r="A68" s="4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spans="1:37" x14ac:dyDescent="0.3">
      <c r="A69" s="4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spans="1:37" x14ac:dyDescent="0.3">
      <c r="A70" s="4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spans="1:37" x14ac:dyDescent="0.3">
      <c r="A71" s="4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spans="1:37" x14ac:dyDescent="0.3">
      <c r="A72" s="4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spans="1:37" x14ac:dyDescent="0.3">
      <c r="A73" s="4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spans="1:37" x14ac:dyDescent="0.3">
      <c r="A74" s="4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spans="1:37" x14ac:dyDescent="0.3">
      <c r="A75" s="4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spans="1:37" x14ac:dyDescent="0.3">
      <c r="A76" s="4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spans="1:37" x14ac:dyDescent="0.3">
      <c r="A77" s="4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spans="1:37" x14ac:dyDescent="0.3">
      <c r="A78" s="4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spans="1:37" x14ac:dyDescent="0.3">
      <c r="A79" s="4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spans="1:37" x14ac:dyDescent="0.3">
      <c r="A80" s="4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spans="1:37" x14ac:dyDescent="0.3">
      <c r="A81" s="4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spans="1:37" x14ac:dyDescent="0.3">
      <c r="A82" s="4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spans="1:37" x14ac:dyDescent="0.3">
      <c r="A83" s="4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spans="1:37" x14ac:dyDescent="0.3">
      <c r="A84" s="4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spans="1:37" x14ac:dyDescent="0.3">
      <c r="A85" s="4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spans="1:37" x14ac:dyDescent="0.3">
      <c r="A86" s="4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spans="1:37" x14ac:dyDescent="0.3">
      <c r="A87" s="4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spans="1:37" x14ac:dyDescent="0.3">
      <c r="A88" s="4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spans="1:37" x14ac:dyDescent="0.3">
      <c r="A89" s="4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spans="1:37" x14ac:dyDescent="0.3">
      <c r="A90" s="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spans="1:37" x14ac:dyDescent="0.3">
      <c r="A91" s="4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spans="1:37" x14ac:dyDescent="0.3">
      <c r="A92" s="4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spans="1:37" x14ac:dyDescent="0.3">
      <c r="A93" s="4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spans="1:37" x14ac:dyDescent="0.3">
      <c r="A94" s="4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spans="1:37" x14ac:dyDescent="0.3">
      <c r="A95" s="4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spans="1:37" x14ac:dyDescent="0.3">
      <c r="A96" s="4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spans="1:37" x14ac:dyDescent="0.3">
      <c r="A97" s="4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spans="1:37" x14ac:dyDescent="0.3">
      <c r="A98" s="4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spans="1:37" x14ac:dyDescent="0.3">
      <c r="A99" s="4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spans="1:37" x14ac:dyDescent="0.3">
      <c r="A100" s="4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spans="1:37" x14ac:dyDescent="0.3">
      <c r="A101" s="4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spans="1:37" x14ac:dyDescent="0.3">
      <c r="A102" s="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spans="1:37" x14ac:dyDescent="0.3">
      <c r="A103" s="4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spans="1:37" x14ac:dyDescent="0.3">
      <c r="A104" s="4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spans="1:37" x14ac:dyDescent="0.3">
      <c r="A105" s="4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spans="1:37" x14ac:dyDescent="0.3">
      <c r="A106" s="4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spans="1:37" x14ac:dyDescent="0.3">
      <c r="A107" s="4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spans="1:37" x14ac:dyDescent="0.3">
      <c r="A108" s="4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spans="1:37" x14ac:dyDescent="0.3">
      <c r="A109" s="4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spans="1:37" x14ac:dyDescent="0.3">
      <c r="A110" s="4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spans="1:37" x14ac:dyDescent="0.3">
      <c r="A111" s="4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spans="1:37" x14ac:dyDescent="0.3">
      <c r="A112" s="4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spans="1:37" x14ac:dyDescent="0.3">
      <c r="A113" s="4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spans="1:37" x14ac:dyDescent="0.3">
      <c r="A114" s="4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spans="1:37" x14ac:dyDescent="0.3">
      <c r="A115" s="4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spans="1:37" x14ac:dyDescent="0.3">
      <c r="A116" s="4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spans="1:37" x14ac:dyDescent="0.3">
      <c r="A117" s="4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spans="1:37" x14ac:dyDescent="0.3">
      <c r="A118" s="4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spans="1:37" x14ac:dyDescent="0.3">
      <c r="A119" s="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spans="1:37" x14ac:dyDescent="0.3">
      <c r="A120" s="4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spans="1:37" x14ac:dyDescent="0.3">
      <c r="A121" s="4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spans="1:37" x14ac:dyDescent="0.3">
      <c r="A122" s="4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spans="1:37" x14ac:dyDescent="0.3">
      <c r="A123" s="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spans="1:37" x14ac:dyDescent="0.3">
      <c r="A124" s="4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spans="1:37" x14ac:dyDescent="0.3">
      <c r="A125" s="4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spans="1:37" x14ac:dyDescent="0.3">
      <c r="A126" s="4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spans="1:37" x14ac:dyDescent="0.3">
      <c r="A127" s="4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spans="1:37" x14ac:dyDescent="0.3">
      <c r="A128" s="4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spans="1:37" x14ac:dyDescent="0.3">
      <c r="A129" s="4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spans="1:37" x14ac:dyDescent="0.3">
      <c r="A130" s="4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spans="1:37" x14ac:dyDescent="0.3">
      <c r="A131" s="4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spans="1:37" x14ac:dyDescent="0.3">
      <c r="A132" s="4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spans="1:37" x14ac:dyDescent="0.3">
      <c r="A133" s="4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spans="1:37" x14ac:dyDescent="0.3">
      <c r="A134" s="4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spans="1:37" x14ac:dyDescent="0.3">
      <c r="A135" s="4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spans="1:37" x14ac:dyDescent="0.3">
      <c r="A136" s="4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spans="1:37" x14ac:dyDescent="0.3">
      <c r="A137" s="4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spans="1:37" x14ac:dyDescent="0.3">
      <c r="A138" s="4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spans="1:37" x14ac:dyDescent="0.3">
      <c r="A139" s="4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spans="1:37" x14ac:dyDescent="0.3">
      <c r="A140" s="4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spans="1:37" x14ac:dyDescent="0.3">
      <c r="A141" s="4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spans="1:37" x14ac:dyDescent="0.3">
      <c r="A142" s="4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spans="1:37" x14ac:dyDescent="0.3">
      <c r="A143" s="4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spans="1:37" x14ac:dyDescent="0.3">
      <c r="A144" s="4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spans="1:37" x14ac:dyDescent="0.3">
      <c r="A145" s="4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spans="1:37" x14ac:dyDescent="0.3">
      <c r="A146" s="4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spans="1:37" x14ac:dyDescent="0.3">
      <c r="A147" s="4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spans="1:37" x14ac:dyDescent="0.3">
      <c r="A148" s="4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spans="1:37" x14ac:dyDescent="0.3">
      <c r="A149" s="4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spans="1:37" x14ac:dyDescent="0.3">
      <c r="A150" s="4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spans="1:37" x14ac:dyDescent="0.3">
      <c r="A151" s="4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spans="1:37" x14ac:dyDescent="0.3">
      <c r="A152" s="4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spans="1:37" x14ac:dyDescent="0.3">
      <c r="A153" s="4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spans="1:37" x14ac:dyDescent="0.3">
      <c r="A154" s="4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spans="1:37" x14ac:dyDescent="0.3">
      <c r="A155" s="4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spans="1:37" x14ac:dyDescent="0.3">
      <c r="A156" s="4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spans="1:37" x14ac:dyDescent="0.3">
      <c r="A157" s="4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spans="1:37" x14ac:dyDescent="0.3">
      <c r="A158" s="4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spans="1:37" x14ac:dyDescent="0.3">
      <c r="A159" s="4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spans="1:37" x14ac:dyDescent="0.3">
      <c r="A160" s="4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spans="1:37" x14ac:dyDescent="0.3">
      <c r="A161" s="4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spans="1:37" x14ac:dyDescent="0.3">
      <c r="A162" s="4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spans="1:37" x14ac:dyDescent="0.3">
      <c r="A163" s="4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spans="1:37" x14ac:dyDescent="0.3">
      <c r="A164" s="4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spans="1:37" x14ac:dyDescent="0.3">
      <c r="A165" s="4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spans="1:37" x14ac:dyDescent="0.3">
      <c r="A166" s="4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spans="1:37" x14ac:dyDescent="0.3">
      <c r="A167" s="4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spans="1:37" x14ac:dyDescent="0.3">
      <c r="A168" s="4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spans="1:37" x14ac:dyDescent="0.3">
      <c r="A169" s="4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spans="1:37" x14ac:dyDescent="0.3">
      <c r="A170" s="4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spans="1:37" x14ac:dyDescent="0.3">
      <c r="A171" s="4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spans="1:37" x14ac:dyDescent="0.3">
      <c r="A172" s="4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spans="1:37" x14ac:dyDescent="0.3">
      <c r="A173" s="4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spans="1:37" x14ac:dyDescent="0.3">
      <c r="A174" s="4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spans="1:37" x14ac:dyDescent="0.3">
      <c r="A175" s="4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spans="1:37" x14ac:dyDescent="0.3">
      <c r="A176" s="4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spans="1:37" x14ac:dyDescent="0.3">
      <c r="A177" s="4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spans="1:37" x14ac:dyDescent="0.3">
      <c r="A178" s="4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spans="1:37" x14ac:dyDescent="0.3">
      <c r="A179" s="4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spans="1:37" x14ac:dyDescent="0.3">
      <c r="A180" s="4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spans="1:37" x14ac:dyDescent="0.3">
      <c r="A181" s="4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spans="1:37" x14ac:dyDescent="0.3">
      <c r="A182" s="4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spans="1:37" x14ac:dyDescent="0.3">
      <c r="A183" s="4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spans="1:37" x14ac:dyDescent="0.3">
      <c r="A184" s="4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spans="1:37" x14ac:dyDescent="0.3">
      <c r="A185" s="4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spans="1:37" x14ac:dyDescent="0.3">
      <c r="A186" s="4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spans="1:37" x14ac:dyDescent="0.3">
      <c r="A187" s="4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spans="1:37" x14ac:dyDescent="0.3">
      <c r="A188" s="4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spans="1:37" x14ac:dyDescent="0.3">
      <c r="A189" s="4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spans="1:37" x14ac:dyDescent="0.3">
      <c r="A190" s="4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spans="1:37" x14ac:dyDescent="0.3">
      <c r="A191" s="4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spans="1:37" x14ac:dyDescent="0.3">
      <c r="A192" s="4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spans="1:37" x14ac:dyDescent="0.3">
      <c r="A193" s="4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spans="1:37" x14ac:dyDescent="0.3">
      <c r="A194" s="4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spans="1:37" x14ac:dyDescent="0.3">
      <c r="A195" s="4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spans="1:37" x14ac:dyDescent="0.3">
      <c r="A196" s="4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spans="1:37" x14ac:dyDescent="0.3">
      <c r="A197" s="4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spans="1:37" x14ac:dyDescent="0.3">
      <c r="A198" s="4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spans="1:37" x14ac:dyDescent="0.3">
      <c r="A199" s="4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spans="1:37" x14ac:dyDescent="0.3">
      <c r="A200" s="4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spans="1:37" x14ac:dyDescent="0.3">
      <c r="A201" s="4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spans="1:37" x14ac:dyDescent="0.3">
      <c r="A202" s="15"/>
      <c r="C202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Natan Ribeiro</cp:lastModifiedBy>
  <dcterms:created xsi:type="dcterms:W3CDTF">2024-12-19T13:13:10Z</dcterms:created>
  <dcterms:modified xsi:type="dcterms:W3CDTF">2025-12-04T23:03:30Z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